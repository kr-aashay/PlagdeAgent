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7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</calcChain>
</file>

<file path=xl/sharedStrings.xml><?xml version="1.0" encoding="utf-8"?>
<sst xmlns="http://schemas.openxmlformats.org/spreadsheetml/2006/main" count="5884" uniqueCount="2192">
  <si>
    <t>empcode</t>
  </si>
  <si>
    <t>name</t>
  </si>
  <si>
    <t>designations</t>
  </si>
  <si>
    <t>deptname</t>
  </si>
  <si>
    <t>MR. A. Jagan Mohan</t>
  </si>
  <si>
    <t>Technician</t>
  </si>
  <si>
    <t>MECH</t>
  </si>
  <si>
    <t>MR. J. Pedda Koteswara Rao</t>
  </si>
  <si>
    <t>Supervisor</t>
  </si>
  <si>
    <t>Workshop</t>
  </si>
  <si>
    <t>Dr. J. Nitchal Kiran</t>
  </si>
  <si>
    <t>Professor</t>
  </si>
  <si>
    <t>Physics</t>
  </si>
  <si>
    <t>MR. M.S.R. Krishnaiah</t>
  </si>
  <si>
    <t>Sr. Technician</t>
  </si>
  <si>
    <t>MRS. V.Yoga Bharathi</t>
  </si>
  <si>
    <t>ASSISTANT REGISTRAR (GENERAL ADMINISTRATION, aCCREDITATION &amp; RANKING)</t>
  </si>
  <si>
    <t>Registrar Office</t>
  </si>
  <si>
    <t>Dr. B. Madhusudhan Rao</t>
  </si>
  <si>
    <t>MBA</t>
  </si>
  <si>
    <t>Dr. M. Sreenivasulu</t>
  </si>
  <si>
    <t>MR. K. Srinivasa Rao</t>
  </si>
  <si>
    <t>Attender / Driver / Security</t>
  </si>
  <si>
    <t>guesthouse</t>
  </si>
  <si>
    <t>Dr. P.M.V. Rao</t>
  </si>
  <si>
    <t>Registrar</t>
  </si>
  <si>
    <t>MR. D. Ramesh</t>
  </si>
  <si>
    <t>Lib assistant</t>
  </si>
  <si>
    <t>Library</t>
  </si>
  <si>
    <t>MR. R. Suresh Kumar</t>
  </si>
  <si>
    <t>Systems Manager</t>
  </si>
  <si>
    <t>TD-Hardware</t>
  </si>
  <si>
    <t>MR. G. Nalini Kanth</t>
  </si>
  <si>
    <t>Sr. Assistant</t>
  </si>
  <si>
    <t>examcell</t>
  </si>
  <si>
    <t>MR. J. Sridhar</t>
  </si>
  <si>
    <t>DR. A. Rajani Kumari</t>
  </si>
  <si>
    <t>Librarian</t>
  </si>
  <si>
    <t>MR. M. Sambasiva Rao</t>
  </si>
  <si>
    <t>Sr Lab technician</t>
  </si>
  <si>
    <t>ECE</t>
  </si>
  <si>
    <t>MR. P. Madhusudhana Rao</t>
  </si>
  <si>
    <t>Academics Office</t>
  </si>
  <si>
    <t xml:space="preserve">DR. P.B.G.S.N. Murthy </t>
  </si>
  <si>
    <t>Associate Professor</t>
  </si>
  <si>
    <t xml:space="preserve">MR. B. Suresh Babu </t>
  </si>
  <si>
    <t>Superintendent</t>
  </si>
  <si>
    <t>MR. D. Babu Rao</t>
  </si>
  <si>
    <t>Technical assistant (hardware)</t>
  </si>
  <si>
    <t>DR. B. Jagan Mohan Rao</t>
  </si>
  <si>
    <t>MR. Sd. Chan Basha</t>
  </si>
  <si>
    <t>MR. Y. Sleeva Raj</t>
  </si>
  <si>
    <t>LAB TECHNICIAN</t>
  </si>
  <si>
    <t xml:space="preserve">MS. D. Shobha </t>
  </si>
  <si>
    <t>dr. D. Satyanarayana</t>
  </si>
  <si>
    <t>MR. B. Venkateswara Rao</t>
  </si>
  <si>
    <t xml:space="preserve">MR. D. Ch. Srinivasa Rao </t>
  </si>
  <si>
    <t>Sr. Accountant</t>
  </si>
  <si>
    <t>Finance</t>
  </si>
  <si>
    <t>MR. A. Lok Aditya</t>
  </si>
  <si>
    <t>MR. Sk. M. Subhani</t>
  </si>
  <si>
    <t>Placement Cell</t>
  </si>
  <si>
    <t>MR. D. Gopi</t>
  </si>
  <si>
    <t>MS. J. Haritha</t>
  </si>
  <si>
    <t>Jr. Assistant / Data Entry Operator</t>
  </si>
  <si>
    <t>CHEM</t>
  </si>
  <si>
    <t>MR. Sk. Abdul Rauf</t>
  </si>
  <si>
    <t>Agriculture</t>
  </si>
  <si>
    <t>MR. C. Kalyana chakravarti</t>
  </si>
  <si>
    <t>WORKSHOP SUPERINTENDENT</t>
  </si>
  <si>
    <t>MS. P. Rajani</t>
  </si>
  <si>
    <t>MR. Y. Rama Mohan</t>
  </si>
  <si>
    <t>ASST. PROF. (CONTRACT)</t>
  </si>
  <si>
    <t>CSE</t>
  </si>
  <si>
    <t>Dr. G. Srinivasa Rao</t>
  </si>
  <si>
    <t>EEE</t>
  </si>
  <si>
    <t>MS. K. Satyavani</t>
  </si>
  <si>
    <t>sr. library assistant</t>
  </si>
  <si>
    <t>MS. K. Suneetha Kumari</t>
  </si>
  <si>
    <t>LabTechnician / Programmer</t>
  </si>
  <si>
    <t>BSH</t>
  </si>
  <si>
    <t>MR. SHAIk. Meeravali</t>
  </si>
  <si>
    <t>MS. M. Bhanu</t>
  </si>
  <si>
    <t>Dr. N. Srinivasu</t>
  </si>
  <si>
    <t>Dean</t>
  </si>
  <si>
    <t>Chemistry</t>
  </si>
  <si>
    <t>Dr. B. Nageswara Rao</t>
  </si>
  <si>
    <t>MR. M. Sridhar</t>
  </si>
  <si>
    <t>DY. LIBRARIAN</t>
  </si>
  <si>
    <t>Dr. M. Sireesha</t>
  </si>
  <si>
    <t>MR. B. Ashok Kumar</t>
  </si>
  <si>
    <t>Humanities</t>
  </si>
  <si>
    <t>MR. A. Sri Krishnaiah</t>
  </si>
  <si>
    <t>MR. G. Subba Rao</t>
  </si>
  <si>
    <t>MR. L. Madhava Rao</t>
  </si>
  <si>
    <t>Ms. Yamani</t>
  </si>
  <si>
    <t>Assistant Professor</t>
  </si>
  <si>
    <t>IT</t>
  </si>
  <si>
    <t>Dr. P.L.N. Varma</t>
  </si>
  <si>
    <t>Maths and Stat</t>
  </si>
  <si>
    <t xml:space="preserve">MR. M. Ravindra </t>
  </si>
  <si>
    <t>MR. S. Venkata Ramana</t>
  </si>
  <si>
    <t>Student Affairs Office</t>
  </si>
  <si>
    <t>MR. A.D. Maheswara Rao</t>
  </si>
  <si>
    <t>Sr Assistant (Designer)</t>
  </si>
  <si>
    <t>Media Branding and Communications</t>
  </si>
  <si>
    <t>DR. M. Subba Rao</t>
  </si>
  <si>
    <t>Dr. N. Satya Sree</t>
  </si>
  <si>
    <t>MR. G. Hanumantha Rao</t>
  </si>
  <si>
    <t>Maintenance</t>
  </si>
  <si>
    <t>DR. Polamraju.V. S. Sobhan</t>
  </si>
  <si>
    <t>Head of The Department</t>
  </si>
  <si>
    <t>MR. Sk. Mastan Basha</t>
  </si>
  <si>
    <t>Dr. B. Sumalatha</t>
  </si>
  <si>
    <t>MS. Y. Nagamani</t>
  </si>
  <si>
    <t>MR. T. Sreedhar</t>
  </si>
  <si>
    <t>MR. G. Pamulu</t>
  </si>
  <si>
    <t>MR. R. Ramu</t>
  </si>
  <si>
    <t>Chairman Office</t>
  </si>
  <si>
    <t>MR. V. Srinivasa Rao</t>
  </si>
  <si>
    <t>AHS</t>
  </si>
  <si>
    <t>MR. V. Ramesh Babu</t>
  </si>
  <si>
    <t>BIOTECH</t>
  </si>
  <si>
    <t>MR. GOLLAMUDI NAGESWARA RAO</t>
  </si>
  <si>
    <t>Dr. G. Nageswara Rao</t>
  </si>
  <si>
    <t>English</t>
  </si>
  <si>
    <t>Dr. M. Venkata Subba Rao</t>
  </si>
  <si>
    <t>DR. M.V.K. Sri Vani</t>
  </si>
  <si>
    <t>Dr. K. Mariadas</t>
  </si>
  <si>
    <t>DR. K.V.B. Ravindra Babu</t>
  </si>
  <si>
    <t>DR. Shaik Shakila Bhanu</t>
  </si>
  <si>
    <t>DR. V. Manoj Kumar uppuluri</t>
  </si>
  <si>
    <t>DR. M.V. Raju</t>
  </si>
  <si>
    <t>CIVIL</t>
  </si>
  <si>
    <t>MR. B. Mahesh</t>
  </si>
  <si>
    <t>POLYTECHNIC EDUCATION</t>
  </si>
  <si>
    <t>Mr. N. Venkaiah</t>
  </si>
  <si>
    <t>MR. S. Syam Babu</t>
  </si>
  <si>
    <t>Maintenance Assistant (General &amp; CCTV Maintenance)</t>
  </si>
  <si>
    <t>MR. P. Isman Khan</t>
  </si>
  <si>
    <t>Physical Director</t>
  </si>
  <si>
    <t>Sports</t>
  </si>
  <si>
    <t>MR. B. Koteswara Rao</t>
  </si>
  <si>
    <t>PHOTOGRAPHER CUM VIDEOGRAPHER</t>
  </si>
  <si>
    <t>MR. K. Pradeep Chand</t>
  </si>
  <si>
    <t>MR. R. Venkata Ramana</t>
  </si>
  <si>
    <t>Dr. N. Narayan Rao</t>
  </si>
  <si>
    <t>MR. Murali Krishna Nangedda</t>
  </si>
  <si>
    <t>Programmer cum Teaching Assistant</t>
  </si>
  <si>
    <t>ACSE</t>
  </si>
  <si>
    <t>Ch. Karunasri</t>
  </si>
  <si>
    <t>MR. T. Ch. Anil Kumar</t>
  </si>
  <si>
    <t>MR. E. Govinda Rajulu</t>
  </si>
  <si>
    <t>MR. Movva Ramakrishna</t>
  </si>
  <si>
    <t>MR. G. Lokesh</t>
  </si>
  <si>
    <t>SENIOR SOFTWARE ENGINEER</t>
  </si>
  <si>
    <t>TD-Software</t>
  </si>
  <si>
    <t>MR. B. Vijayaraju</t>
  </si>
  <si>
    <t>MR. N. Bala Sekhar</t>
  </si>
  <si>
    <t>Hardware Technician</t>
  </si>
  <si>
    <t>DR. TIRUPATAIAH CHEREDDY</t>
  </si>
  <si>
    <t>MR. v Omprakash YAKKALA</t>
  </si>
  <si>
    <t>Ch. N. Narasimha Rao</t>
  </si>
  <si>
    <t>Dr. K.Venkata Madhuri</t>
  </si>
  <si>
    <t>dR. N. Bharath Kumar</t>
  </si>
  <si>
    <t>MR. A. Suman Kalyan</t>
  </si>
  <si>
    <t>DR. U. Sri Ranganath</t>
  </si>
  <si>
    <t>MR. Sree Raghu Ram</t>
  </si>
  <si>
    <t>MR. G. Ramesh Babu</t>
  </si>
  <si>
    <t>Mrs. Movva Lakshmi</t>
  </si>
  <si>
    <t>Mrs. D. Tipura</t>
  </si>
  <si>
    <t>CAP</t>
  </si>
  <si>
    <t>K. Ayyappa</t>
  </si>
  <si>
    <t>S. Babu Rao</t>
  </si>
  <si>
    <t>Mr. K. Kiran Kumar</t>
  </si>
  <si>
    <t>Programmer</t>
  </si>
  <si>
    <t>Computer Applications</t>
  </si>
  <si>
    <t>DR. Farooq Shaik</t>
  </si>
  <si>
    <t>K. Vidyadhar</t>
  </si>
  <si>
    <t>Srinivasa Reddy MARREDDY</t>
  </si>
  <si>
    <t>MR. D. Nagadevaiah</t>
  </si>
  <si>
    <t>Sr software developer</t>
  </si>
  <si>
    <t>MR. K. Lakshmaiah</t>
  </si>
  <si>
    <t>Mrs. Y. Prameela RANI</t>
  </si>
  <si>
    <t>MR. K. Veera Narayana</t>
  </si>
  <si>
    <t>N. Venkateswarlu</t>
  </si>
  <si>
    <t>MR. K. Sudheer Babu</t>
  </si>
  <si>
    <t>Ch. Phaneendra Kumar</t>
  </si>
  <si>
    <t>MR. R. Pradeep Kumar</t>
  </si>
  <si>
    <t>admissions</t>
  </si>
  <si>
    <t xml:space="preserve"> P. Guru Prasada Rao</t>
  </si>
  <si>
    <t>P. Chaya</t>
  </si>
  <si>
    <t>Sk. Mastan Vali</t>
  </si>
  <si>
    <t>Jr.Asst</t>
  </si>
  <si>
    <t>N. Praveen</t>
  </si>
  <si>
    <t>J. Prem Babu</t>
  </si>
  <si>
    <t>K. Murali Gopala Krishna</t>
  </si>
  <si>
    <t>Ground supervisor (civil works)</t>
  </si>
  <si>
    <t>B. Gopi Kiran</t>
  </si>
  <si>
    <t>Officiating Superintendent</t>
  </si>
  <si>
    <t>Dr. D. Naga Raju</t>
  </si>
  <si>
    <t>Dr. Shaik Anwar</t>
  </si>
  <si>
    <t>Officiating professor</t>
  </si>
  <si>
    <t>Dr. K. Prabhakara Rao</t>
  </si>
  <si>
    <t>N.B. Prakash Tiruveedula</t>
  </si>
  <si>
    <t>Dr. Vijayababu Palukuri</t>
  </si>
  <si>
    <t>Kanaparthi Ramesh</t>
  </si>
  <si>
    <t>Dr. N.S. Sampath Kumar</t>
  </si>
  <si>
    <t>Dr. Vijaya Ramu Dirisala</t>
  </si>
  <si>
    <t>Mihir Barman</t>
  </si>
  <si>
    <t>M. Vinod Babu</t>
  </si>
  <si>
    <t>Dr. M. Ramakrishna</t>
  </si>
  <si>
    <t>M. Anirudh</t>
  </si>
  <si>
    <t>Sujosh Nandi</t>
  </si>
  <si>
    <t>Dr. N. Jalaja</t>
  </si>
  <si>
    <t>Dr.Ravi Sekhar Yarrabothu</t>
  </si>
  <si>
    <t>G Anil Kumar</t>
  </si>
  <si>
    <t>A.Gouri Sankar Rao</t>
  </si>
  <si>
    <t>dy. registrar</t>
  </si>
  <si>
    <t>Phanindra Jagarlamudi</t>
  </si>
  <si>
    <t>CAMPUS MAINTENANCE SUPERVISOR</t>
  </si>
  <si>
    <t>Mohammad Yusuf</t>
  </si>
  <si>
    <t>MR. A. Y. Krishna</t>
  </si>
  <si>
    <t>SR. PLUMBER CUM ELECTRICIAN</t>
  </si>
  <si>
    <t>MR. G. Koteswara Rao</t>
  </si>
  <si>
    <t>MR. S. Gopi</t>
  </si>
  <si>
    <t>MS. Sajja Radha Rani</t>
  </si>
  <si>
    <t>Aminul Islam</t>
  </si>
  <si>
    <t>MS. T. Tirupathamma</t>
  </si>
  <si>
    <t>DR. M. Bhargavi</t>
  </si>
  <si>
    <t>Mrs.Nazma Sultana Shaik</t>
  </si>
  <si>
    <t>DR. Ch.N.S.Sai Pavan Kumar</t>
  </si>
  <si>
    <t>MRS. R. Aamani</t>
  </si>
  <si>
    <t>dr. Ramesh naidu mandapati</t>
  </si>
  <si>
    <t>Dr. Nagendra Rao Howji</t>
  </si>
  <si>
    <t>MR. M. Kishore Babu</t>
  </si>
  <si>
    <t>Dr. Vijaya Kumar Chavan</t>
  </si>
  <si>
    <t>mrs. SD. Shareefunnisa</t>
  </si>
  <si>
    <t>Dr. Amar Jukuntla</t>
  </si>
  <si>
    <t>DR. Yarlagadda. Jyothi</t>
  </si>
  <si>
    <t>Dr. Dondeti. Venkatesulu</t>
  </si>
  <si>
    <t>Dr. MD NAZNEEN BOBBY</t>
  </si>
  <si>
    <t>MR. D. Suresh Babu</t>
  </si>
  <si>
    <t>NSS Co - Ordinator</t>
  </si>
  <si>
    <t>S. G. Chaitanya. Dhulipalla</t>
  </si>
  <si>
    <t>ASSISTANT PLACEMENT OFFICER</t>
  </si>
  <si>
    <t>Dr. P. Sasiratnakar</t>
  </si>
  <si>
    <t>MR. Shaik Mahabu Subhani</t>
  </si>
  <si>
    <t>Site Supervisor</t>
  </si>
  <si>
    <t>Mahalingam. C</t>
  </si>
  <si>
    <t>Dr. K. Ravi Kumar</t>
  </si>
  <si>
    <t>Mr. K. Pavan Kumar</t>
  </si>
  <si>
    <t>Dr. K. Mercy Rosalina</t>
  </si>
  <si>
    <t>P. Naga Siva Pavani</t>
  </si>
  <si>
    <t>MR. G RamEsh chandra</t>
  </si>
  <si>
    <t>Dr. ABRAHAM PEELE KARLAPUDI</t>
  </si>
  <si>
    <t>Dr.Chandrasekar kuppan</t>
  </si>
  <si>
    <t>MR. BONDILI B SAINADH SING</t>
  </si>
  <si>
    <t>Electrician</t>
  </si>
  <si>
    <t>MR. Tullimilli Kiran Kumar</t>
  </si>
  <si>
    <t>MR. Shaik Karimulla Babu</t>
  </si>
  <si>
    <t>dr. shaik jakeer hussain</t>
  </si>
  <si>
    <t>Dr. anandarup goswami</t>
  </si>
  <si>
    <t>Mr. A. Srinivasa Rao</t>
  </si>
  <si>
    <t>Mr. p. rajasekhar reddy</t>
  </si>
  <si>
    <t>Dr. M. Ramanjaneyulu</t>
  </si>
  <si>
    <t>Dr. P. Siva Prasad</t>
  </si>
  <si>
    <t>Dr. P. KALPANA</t>
  </si>
  <si>
    <t>Mr. R. Ravindra Raju</t>
  </si>
  <si>
    <t>Dr. KrishnaDevi</t>
  </si>
  <si>
    <t>Dr. Charles David</t>
  </si>
  <si>
    <t>Dr. Venkaiah Malapati</t>
  </si>
  <si>
    <t>officiating associate professor</t>
  </si>
  <si>
    <t>Dr. V srinivasadesikan</t>
  </si>
  <si>
    <t>dr. pilli v v n kishore</t>
  </si>
  <si>
    <t>Mr. v. rajendra Babu</t>
  </si>
  <si>
    <t>Dr. Bharat Kumar Tripuramallu</t>
  </si>
  <si>
    <t>Mr. E. Chalapathi Rao</t>
  </si>
  <si>
    <t>Construction Supervisor</t>
  </si>
  <si>
    <t>mr. kottala pandu ranga</t>
  </si>
  <si>
    <t>Teaching Assistant</t>
  </si>
  <si>
    <t>Dr. Velaga Ravi Babu</t>
  </si>
  <si>
    <t>Dr. Ranga Rao Ambati</t>
  </si>
  <si>
    <t>Mr. Shaik jani Feroz</t>
  </si>
  <si>
    <t>Mr. Nageswara rao katiki</t>
  </si>
  <si>
    <t>ASST LIBRARIAN</t>
  </si>
  <si>
    <t>Dr. Jithendra Chimakurthy</t>
  </si>
  <si>
    <t>Pharmacy</t>
  </si>
  <si>
    <t>Dr.V. Radhakrishna murthy</t>
  </si>
  <si>
    <t>Dr. P. Jhansi Lakshmi</t>
  </si>
  <si>
    <t>Dr. Yookesh T L</t>
  </si>
  <si>
    <t>Mr. Jajam Naresh</t>
  </si>
  <si>
    <t>TrainingCell</t>
  </si>
  <si>
    <t>Dr. Anjani Devi Chintagunta</t>
  </si>
  <si>
    <t>mr. m. v.n.r.pavan kumar</t>
  </si>
  <si>
    <t>placement officer</t>
  </si>
  <si>
    <t>Dr. srinivasa Rao pathipati</t>
  </si>
  <si>
    <t>Mr. K. Murali Naik</t>
  </si>
  <si>
    <t>MR. GOLIMIDI RAVI KUMAR</t>
  </si>
  <si>
    <t>SR. TECHNICAL ASST.</t>
  </si>
  <si>
    <t>Dr. Sekhar Manepalli</t>
  </si>
  <si>
    <t>Dr. M. Bujji Babu</t>
  </si>
  <si>
    <t>Research Assistant</t>
  </si>
  <si>
    <t>Dr. N. Satya Vijaya Kumar</t>
  </si>
  <si>
    <t>Scientist</t>
  </si>
  <si>
    <t>MR. BATTU VENKATESWARA  RAO</t>
  </si>
  <si>
    <t>Dr. B. Naveen Kumar Reddy</t>
  </si>
  <si>
    <t>MR. CHAITANYA GANDHI CHEREDDY</t>
  </si>
  <si>
    <t>COORDINATOR - KIA MOTORS</t>
  </si>
  <si>
    <t>DR. P. SUDAM SEKHAR</t>
  </si>
  <si>
    <t>DR. P.M.VENKATESH</t>
  </si>
  <si>
    <t>Dr. Gomatam Mohanacharyulu</t>
  </si>
  <si>
    <t>DR. M. PACHIYANNAN</t>
  </si>
  <si>
    <t>Dr. Gouthami Paltati</t>
  </si>
  <si>
    <t xml:space="preserve">DR. KOIGOORA SRIKANTH </t>
  </si>
  <si>
    <t>DR. K. SUJATHA</t>
  </si>
  <si>
    <t>MR. D. ANANDHA KUMAR</t>
  </si>
  <si>
    <t xml:space="preserve">DR. a. SAI MANIDEEP </t>
  </si>
  <si>
    <t>DR. VIJAYARAGHAVAN V</t>
  </si>
  <si>
    <t>DR. LAAVANYA M</t>
  </si>
  <si>
    <t>DR. TONDEPU SUBBAIAH</t>
  </si>
  <si>
    <t>DR. BANDARU SRINIVASA RAO</t>
  </si>
  <si>
    <t>MS. MATLAPUDI SUSMITHA</t>
  </si>
  <si>
    <t>MS. K. LAKSHMI PRANITHA</t>
  </si>
  <si>
    <t>Lift Operator</t>
  </si>
  <si>
    <t>MS. LANKA MALATHI</t>
  </si>
  <si>
    <t>MS. SHAIK JAINABI</t>
  </si>
  <si>
    <t>Assistant to workers supervisor</t>
  </si>
  <si>
    <t>DR. ANIL KUMAR S</t>
  </si>
  <si>
    <t>MR. MORLA SYAM SUNDAR</t>
  </si>
  <si>
    <t>PLUMBER</t>
  </si>
  <si>
    <t>MR. KAMMA SIVA NAGA RAJU</t>
  </si>
  <si>
    <t>BIOGAS SEMI SKILLED OPERATOR</t>
  </si>
  <si>
    <t>MR. BHUSIRAJU VENUBABU</t>
  </si>
  <si>
    <t>MEDIA ASSISTANT</t>
  </si>
  <si>
    <t>DR. ASADI SIVA SANKAR</t>
  </si>
  <si>
    <t>DR. AYYANNA D S</t>
  </si>
  <si>
    <t>MR. DASARI RAVIKANTH</t>
  </si>
  <si>
    <t>DR. S. K. SATPATHY</t>
  </si>
  <si>
    <t>DIRECTOR</t>
  </si>
  <si>
    <t>DR. SARITA SATPATHY</t>
  </si>
  <si>
    <t>DR. SUDIP MANDAL</t>
  </si>
  <si>
    <t>DR. S. VINOTH</t>
  </si>
  <si>
    <t>MR. KOMMINENI BALAGOPI KRISHNA</t>
  </si>
  <si>
    <t>Dr. Simhadri Chinna Gopi</t>
  </si>
  <si>
    <t>MR. D. MADHUSUDHANA RAO</t>
  </si>
  <si>
    <t>Mr. Cheepu Ravi Kiran</t>
  </si>
  <si>
    <t>Mr. Kirankumar Kaveti</t>
  </si>
  <si>
    <t>MR. SELVAMUTHUKUMAR M</t>
  </si>
  <si>
    <t>MR. KATEVARAPU SUDHEER</t>
  </si>
  <si>
    <t>Maintenance Assistant</t>
  </si>
  <si>
    <t>MR. SURYADEVARA ANJANIKANTH</t>
  </si>
  <si>
    <t>ASST. TO WORKSHOP SUPERINTENDENT</t>
  </si>
  <si>
    <t>MR. UTTEJ KUMAR NANNAPANENI</t>
  </si>
  <si>
    <t>MS. SAJIDA SULTANA SHAIK</t>
  </si>
  <si>
    <t>MRS. ANUSHA VISWANADAPALLI</t>
  </si>
  <si>
    <t>Dr. VARADHI RAVI TEJA</t>
  </si>
  <si>
    <t>ASSISTANT REGISTRAR (MEDIA)</t>
  </si>
  <si>
    <t>MS. YALAMANCHI VENKATARAMANA</t>
  </si>
  <si>
    <t>MR. ROMPICHERLA CHINMAYANANDA YOGANAND</t>
  </si>
  <si>
    <t>MR. ALURI CHANAKYA</t>
  </si>
  <si>
    <t>MS. Y. BHAVANI</t>
  </si>
  <si>
    <t>VC Office</t>
  </si>
  <si>
    <t>MS. B. NAGENDRAM</t>
  </si>
  <si>
    <t>MR. D. KARTHIK</t>
  </si>
  <si>
    <t>MRS. K. RENUKA DEVI</t>
  </si>
  <si>
    <t>MR. ONGOLE GANDHI</t>
  </si>
  <si>
    <t>DR. P. PARTHIBAN</t>
  </si>
  <si>
    <t>MS. MIRIYALA NAVYA</t>
  </si>
  <si>
    <t>ASSISTANT PHYSICAL DIRECTOR</t>
  </si>
  <si>
    <t>DR. SHUBHALAKSHMI SENGUPTA</t>
  </si>
  <si>
    <t>MRS. VASIREDDY VIJAYA LAKSHMI</t>
  </si>
  <si>
    <t xml:space="preserve">Mr. Panthagani Vijaya Babu </t>
  </si>
  <si>
    <t>DR. SRAVANAJYOTHI D</t>
  </si>
  <si>
    <t>MS. CH. PUSHYA</t>
  </si>
  <si>
    <t>DR. T. R. RAJESH</t>
  </si>
  <si>
    <t>MR. RAMADOSS P</t>
  </si>
  <si>
    <t>MR. SURESH BABU K</t>
  </si>
  <si>
    <t>Lab Assistant</t>
  </si>
  <si>
    <t>Food Technology</t>
  </si>
  <si>
    <t>MR. S. NYAMATHULLA</t>
  </si>
  <si>
    <t>MR. GUTTA ADITYA</t>
  </si>
  <si>
    <t>MR. MADINENI LOKESH</t>
  </si>
  <si>
    <t>MS. KATURI RAMYA SRI</t>
  </si>
  <si>
    <t xml:space="preserve">mr. naseer khan pattan </t>
  </si>
  <si>
    <t>technical lead</t>
  </si>
  <si>
    <t>mr. sapavat srinivAs</t>
  </si>
  <si>
    <t>MS. SHAIK SHABANA AZMI</t>
  </si>
  <si>
    <t>Counseling Psychologist</t>
  </si>
  <si>
    <t>MR. BUDAGALA HARI KRISHNA</t>
  </si>
  <si>
    <t>IQAC Office</t>
  </si>
  <si>
    <t>DR. G. SRINIVASA RAO</t>
  </si>
  <si>
    <t>DR. SATHISH KUMAR KONIDALA</t>
  </si>
  <si>
    <t>DR. SRIKANTHYADAV M</t>
  </si>
  <si>
    <t>Mr. k. vimal aditya</t>
  </si>
  <si>
    <t>SR. VIDEO EDITOR</t>
  </si>
  <si>
    <t>DR. HEMANTA KUMAR BHUYAN</t>
  </si>
  <si>
    <t>DR. SIVADI BALAKRISHNA</t>
  </si>
  <si>
    <t>MS. AVANI NEELIMA</t>
  </si>
  <si>
    <t>MR. SHAIK RABBANI</t>
  </si>
  <si>
    <t>MR. AJAY BABU KOTHURI</t>
  </si>
  <si>
    <t>special officer</t>
  </si>
  <si>
    <t>MR. MOVVA RAJESH</t>
  </si>
  <si>
    <t>dr. syed irshaan</t>
  </si>
  <si>
    <t>Dr. Adam Dasari</t>
  </si>
  <si>
    <t>MR. KONDAVEETI SREENIVASA RAO</t>
  </si>
  <si>
    <t>SECURITY AND VIGILANCE OFFICER</t>
  </si>
  <si>
    <t>MS. J. DEVA KUMARI</t>
  </si>
  <si>
    <t>MS. ORSU LAVANYA</t>
  </si>
  <si>
    <t>MR. RAVINDRA BABU RETURU</t>
  </si>
  <si>
    <t>DR. PRAVEEN KUMAR</t>
  </si>
  <si>
    <t>Law</t>
  </si>
  <si>
    <t>MR. GUNJI VENKATESWARAMMA</t>
  </si>
  <si>
    <t>MRS. SARITHOTI KALPANA</t>
  </si>
  <si>
    <t>MR. TUMATI REVANTH</t>
  </si>
  <si>
    <t>DR. TALARI NARESH</t>
  </si>
  <si>
    <t>MR. NARENDRA BABU CHOPPARA</t>
  </si>
  <si>
    <t>DR. ZIAUL HAQUE CHOUDHURY</t>
  </si>
  <si>
    <t>MR. MaDARABOINA VENKATESWARA RAO</t>
  </si>
  <si>
    <t>MR. SK. SIKINDAR</t>
  </si>
  <si>
    <t>Dr. G. BALU NARASIMHA RAO</t>
  </si>
  <si>
    <t>MR. GUNTURU SUDHEER</t>
  </si>
  <si>
    <t>Dr. MADDULA VENKATA RAMANA</t>
  </si>
  <si>
    <t>MR. K. ANAND KUMAR</t>
  </si>
  <si>
    <t>MR. SUMIT RAGHO GAWAI</t>
  </si>
  <si>
    <t>MR. R. PARANTHAMAN</t>
  </si>
  <si>
    <t>TEXTILE</t>
  </si>
  <si>
    <t>MS. PEETA SOWJANYA</t>
  </si>
  <si>
    <t>DR. J. VEERANJANEYULU</t>
  </si>
  <si>
    <t>MR. JOGI NAGA RAJU</t>
  </si>
  <si>
    <t>MR. PEDA BABU MANDAPATI</t>
  </si>
  <si>
    <t>Ms. Madhavi M</t>
  </si>
  <si>
    <t>Mrs Shaik Shama</t>
  </si>
  <si>
    <t>Dr. Arunakumari Anchula</t>
  </si>
  <si>
    <t>Dr. Baiju Krishnan</t>
  </si>
  <si>
    <t>Mr. Chavva Ravi Kishore Reddy</t>
  </si>
  <si>
    <t>MR. AMITABH SONI</t>
  </si>
  <si>
    <t>DR. REEMA CHAKRABARTI</t>
  </si>
  <si>
    <t>Dr. VENKATA SIVA VARMA CH</t>
  </si>
  <si>
    <t>DR. K. J. N. V. NARASA REDDY</t>
  </si>
  <si>
    <t>Asst. Registrar</t>
  </si>
  <si>
    <t>MS. BULLA JYOTHI</t>
  </si>
  <si>
    <t>MR. K. VENKATA NAGA VENU</t>
  </si>
  <si>
    <t>FIELD ASSISTANT</t>
  </si>
  <si>
    <t>MR. DASARI RAVI KUMAR</t>
  </si>
  <si>
    <t>MS. WINCIYA HOWARDZ</t>
  </si>
  <si>
    <t>ASSOCIATE DIRECTOR</t>
  </si>
  <si>
    <t>MR. TAIDALA KISHORE</t>
  </si>
  <si>
    <t>MS. VANGURI PRIYANKA RAJ</t>
  </si>
  <si>
    <t>MS. PAVULURI SRAVANTHI</t>
  </si>
  <si>
    <t>web develpoer (Trainee)</t>
  </si>
  <si>
    <t>MS. N. KAVYA</t>
  </si>
  <si>
    <t>DR. SHAH AL MAMUN SARKAR</t>
  </si>
  <si>
    <t>MR. M V SAI RAM</t>
  </si>
  <si>
    <t>TECHNICIAN (HARDWARE)</t>
  </si>
  <si>
    <t>DR. CHEBOYANA SURESH</t>
  </si>
  <si>
    <t>MR. B. RAGHAVENDRA</t>
  </si>
  <si>
    <t>FULL-TIME COACH</t>
  </si>
  <si>
    <t>MR. K. DHANANJAYA GOUDU</t>
  </si>
  <si>
    <t>ASSISTANT PHYSICAL DIRECTOR (RESIDENTIAL)</t>
  </si>
  <si>
    <t>MS. PULI SAI SOWJANYA</t>
  </si>
  <si>
    <t>MR. BRUNDAVANAM PAVANI S RANGANATH</t>
  </si>
  <si>
    <t>Electrical Maintenance</t>
  </si>
  <si>
    <t>MR.MUMMADISETTY JWALARAMAIAH</t>
  </si>
  <si>
    <t>DR. SURYA PRABHA MATANGI</t>
  </si>
  <si>
    <t>PROF. P. NAGABHUSHAN</t>
  </si>
  <si>
    <t>Vice-Chancellor</t>
  </si>
  <si>
    <t>MR. ANNAPARTHI SRINU</t>
  </si>
  <si>
    <t>MS. MARIMUTT NAGA LAKSHMI</t>
  </si>
  <si>
    <t>CDOE</t>
  </si>
  <si>
    <t>MR. GADDE PRASANTH KUMAR</t>
  </si>
  <si>
    <t>MR. K. DINESH KUMAR</t>
  </si>
  <si>
    <t>MR. KAMINENI SAMBASIVA RAO</t>
  </si>
  <si>
    <t>DR. K. CHANDRASEKHAR</t>
  </si>
  <si>
    <t>MR. KAIKALA PRABHU KUMAR</t>
  </si>
  <si>
    <t>MR. MENDU DORABABU</t>
  </si>
  <si>
    <t>MR. K. CH. RAGHAVAIAH</t>
  </si>
  <si>
    <t>Store Keeper (Civil)</t>
  </si>
  <si>
    <t>Purchase Section</t>
  </si>
  <si>
    <t>Mrs. GUGGILAM NAVYA</t>
  </si>
  <si>
    <t>MR. RAJGOPAL VANGARA</t>
  </si>
  <si>
    <t>GRAPHIC DESIGNER</t>
  </si>
  <si>
    <t>DR. PRADEEP GORRE</t>
  </si>
  <si>
    <t>DR. SANNU VENKATESWARLU</t>
  </si>
  <si>
    <t>DR. DAVULURI SYAM BABU</t>
  </si>
  <si>
    <t>DR. SUBRATA RANA</t>
  </si>
  <si>
    <t>MS. ASWANTHY CHANDRA C H</t>
  </si>
  <si>
    <t>DR. PONNURU MAHESH</t>
  </si>
  <si>
    <t>DR. P. VENKATA SUBBA RAO</t>
  </si>
  <si>
    <t>SR. DESIGN ENGINEER (EQUIVALENT TO ASST. PROF. RANK)</t>
  </si>
  <si>
    <t>DR. KOMMOJU VALLAYYACHARI</t>
  </si>
  <si>
    <t>DR. GRANDHI SRIKAR</t>
  </si>
  <si>
    <t>MR. SOURAV MONDAL</t>
  </si>
  <si>
    <t>MS. G. VEENA</t>
  </si>
  <si>
    <t>MR. BANDLAMUDI NAGA SUDHEER</t>
  </si>
  <si>
    <t>MR. KANULLA RAMESH</t>
  </si>
  <si>
    <t>DR. N. RAMA GOPAL</t>
  </si>
  <si>
    <t>ADHOC FACULTY</t>
  </si>
  <si>
    <t>DR. SIBBALA SUBRAMANYAM</t>
  </si>
  <si>
    <t>DR. K. KALYANI</t>
  </si>
  <si>
    <t>MS. ANANYA PAYAL</t>
  </si>
  <si>
    <t>DR. B. N. NAVEEN KUMAR</t>
  </si>
  <si>
    <t>MR. S. JAYASANKAR</t>
  </si>
  <si>
    <t>DR. MARAMREDDI UMA DEVI</t>
  </si>
  <si>
    <t>lavu jayasudha</t>
  </si>
  <si>
    <t>Dr. Singumahanthi Venkata Gayatri Apoorva</t>
  </si>
  <si>
    <t>Mrs. Kostu Himabindu</t>
  </si>
  <si>
    <t>MR. K. BHANU CHANDAR</t>
  </si>
  <si>
    <t>JR. DESIGN ENGINEER</t>
  </si>
  <si>
    <t>MR. ARADHYULA PRAVEEN RAJU</t>
  </si>
  <si>
    <t>TRAINER IN APSSDC</t>
  </si>
  <si>
    <t>MR. KATTA PAVANKALYAN</t>
  </si>
  <si>
    <t>MR. I NAGA RAJU</t>
  </si>
  <si>
    <t>Transport</t>
  </si>
  <si>
    <t>MR. DODDA GOPI</t>
  </si>
  <si>
    <t>MR. SYAM PRASAD REDDY T</t>
  </si>
  <si>
    <t>MR. MOHAMMAD RAHAMAN KHAN</t>
  </si>
  <si>
    <t>mr. velpula praveen</t>
  </si>
  <si>
    <t>LAB ANALYST</t>
  </si>
  <si>
    <t>MRS. D S KRISHNA VENI m</t>
  </si>
  <si>
    <t>head - media cell</t>
  </si>
  <si>
    <t>MR. VEJENDLA RAVI TEJA</t>
  </si>
  <si>
    <t>MS. K. RADHA</t>
  </si>
  <si>
    <t>Mrs. Rajani Kalisetti</t>
  </si>
  <si>
    <t>ms. aruna pullagura</t>
  </si>
  <si>
    <t>MS. KOTHAPALLI SAINI</t>
  </si>
  <si>
    <t>MS. RAVURI SUVARNAKUMARI</t>
  </si>
  <si>
    <t>MR. PASUPULETI BHARGAV</t>
  </si>
  <si>
    <t>MR. SONTI PANAKALU</t>
  </si>
  <si>
    <t>MR. B. ANIL KUMAR</t>
  </si>
  <si>
    <t>MR. R. GOPI</t>
  </si>
  <si>
    <t>DR. ANNAPURNA KIRANMAI P</t>
  </si>
  <si>
    <t>MR. AYINAMPUDI HARI BABU</t>
  </si>
  <si>
    <t>Accountant</t>
  </si>
  <si>
    <t>Dr. KATARI SUDHEER KUMAR</t>
  </si>
  <si>
    <t>MR. CHILAKA VENKATESWARLU</t>
  </si>
  <si>
    <t>TRANSPORT SUPERVISOR</t>
  </si>
  <si>
    <t>Mrs. Anusha Kakumanu</t>
  </si>
  <si>
    <t>Mr. Dega Balakotaiah</t>
  </si>
  <si>
    <t>DR. SATISH KUMAR SATTI</t>
  </si>
  <si>
    <t>DR. MADDALI ANUSHA</t>
  </si>
  <si>
    <t>DR. NELAPATI ANANDA KUMAR</t>
  </si>
  <si>
    <t>MR. VEERAVALLI KANAKA RAO</t>
  </si>
  <si>
    <t>LANDSCAPE SUPERVISOR</t>
  </si>
  <si>
    <t>DR. THOTTEMPUDI PRABHAKARARAO</t>
  </si>
  <si>
    <t>Dr. HADOLE MAHESH VINAYAK</t>
  </si>
  <si>
    <t>MR. NARAYANA PADYALA</t>
  </si>
  <si>
    <t>MR. CHIVUKULA GIRIDHAR</t>
  </si>
  <si>
    <t>ELECTRICAL MAINTENANCE I/C</t>
  </si>
  <si>
    <t>MR. CHIRAKALA SAI KRISHNA TEJA</t>
  </si>
  <si>
    <t>MR. NARRA VASANTHA KUMAR</t>
  </si>
  <si>
    <t>Computer Lab Assistant</t>
  </si>
  <si>
    <t>MR. DEEVI PATANJALI PAVANKUMAR</t>
  </si>
  <si>
    <t>Dr. MD. FAIYAZ AHMED</t>
  </si>
  <si>
    <t>Ms. B. LIKHITHA SRI</t>
  </si>
  <si>
    <t>dr. sumanjit sarkar</t>
  </si>
  <si>
    <t>Dr. MITHUN RUDRAPAL</t>
  </si>
  <si>
    <t>DR. RAVINA MADHULITHA NALAMOLU</t>
  </si>
  <si>
    <t>DR. PODila NARESH</t>
  </si>
  <si>
    <t>DR. SANKARAN K</t>
  </si>
  <si>
    <t>Dr. K. Balakrishna Reddy</t>
  </si>
  <si>
    <t>Asst. Prof.</t>
  </si>
  <si>
    <t>DR. APARNA NERUSU</t>
  </si>
  <si>
    <t>MR. T. KANNA</t>
  </si>
  <si>
    <t>DR. GHALI KRISHNA HARSHITHA</t>
  </si>
  <si>
    <t>MS. PIDIMI AMRUTHA VARSHINI</t>
  </si>
  <si>
    <t>Dr. MD Oqail Ahmad</t>
  </si>
  <si>
    <t>MR. N. ABHILASH</t>
  </si>
  <si>
    <t>DR. MITTA RAGHAVENDRA</t>
  </si>
  <si>
    <t>DR. ARNAB DE</t>
  </si>
  <si>
    <t>MS. PAIDI RADHA KUMARI</t>
  </si>
  <si>
    <t>Mr. Prasad Panda</t>
  </si>
  <si>
    <t>DIRECTOR - IR</t>
  </si>
  <si>
    <t>Dr. Srinivasa Rao Yadavalli</t>
  </si>
  <si>
    <t>Dr. Merugu Chandra Surya Rao</t>
  </si>
  <si>
    <t>MR. THOTA VENKATESH</t>
  </si>
  <si>
    <t>FRONT OFFICE ASSISTANT</t>
  </si>
  <si>
    <t>MR. K. JOHN</t>
  </si>
  <si>
    <t>MR. S. SURESH BABU</t>
  </si>
  <si>
    <t>DR. Chennapragada Amarendra</t>
  </si>
  <si>
    <t>Mr. Kolakulari Ajith</t>
  </si>
  <si>
    <t>Mrs. Amulya Somavarapu</t>
  </si>
  <si>
    <t>Biomedical</t>
  </si>
  <si>
    <t>Mr. Nageswara Rao Kunchala</t>
  </si>
  <si>
    <t>R &amp; D Office</t>
  </si>
  <si>
    <t>Mr. Gundala Anil</t>
  </si>
  <si>
    <t>Dr. Prashant Upadhyay</t>
  </si>
  <si>
    <t>Dr. S Karthikeyan</t>
  </si>
  <si>
    <t>MR. M Naga Kiran</t>
  </si>
  <si>
    <t>Maintenance Supervisor</t>
  </si>
  <si>
    <t>Dr. Sunil Babu Melingi</t>
  </si>
  <si>
    <t>Ms. Vejendla Jhansi</t>
  </si>
  <si>
    <t>Dr. Vinoj J</t>
  </si>
  <si>
    <t>Dr. K. B. Manikandan</t>
  </si>
  <si>
    <t>Dr. Muppalla Lakshmi Naga Nandini</t>
  </si>
  <si>
    <t>Mr. Kiran Kumar Kalagadda</t>
  </si>
  <si>
    <t>Dr. Gonepudi Narendra Kumar</t>
  </si>
  <si>
    <t>Dr. Rambabu Kusuma</t>
  </si>
  <si>
    <t xml:space="preserve">Mr. S Nageswararao Bopparaju </t>
  </si>
  <si>
    <t>Dr. A. LOGANATHAN</t>
  </si>
  <si>
    <t>Dr. Shaik Mahaboob Syed</t>
  </si>
  <si>
    <t>Dr. Kumara Swamy Manepalli</t>
  </si>
  <si>
    <t>Mr. SureshBabu Amarthaluri</t>
  </si>
  <si>
    <t>Dr. Shaik Mastan Sharif</t>
  </si>
  <si>
    <t>Dr. Suneel Sankala</t>
  </si>
  <si>
    <t>Dr. L. N. Madhu Mohan</t>
  </si>
  <si>
    <t>Dr. M. Vijai Meyyappan</t>
  </si>
  <si>
    <t>Dr. R. Renugadevi</t>
  </si>
  <si>
    <t>Dr.  P.M. Benson Mansingh</t>
  </si>
  <si>
    <t>Dr. Preeti Thakur</t>
  </si>
  <si>
    <t>Dr.C.Sateesh Kumar Reddy</t>
  </si>
  <si>
    <t>Ms. Tetakale Umamaheswari</t>
  </si>
  <si>
    <t>Dr. Preeti Kharwar</t>
  </si>
  <si>
    <t>Dr. Saubhagya Ranjan Biswal</t>
  </si>
  <si>
    <t>Mr. Pagidipalli Kiran Kumar Raja</t>
  </si>
  <si>
    <t>Dr. G. Dhana Lakshmi</t>
  </si>
  <si>
    <t>Mr. P. Srinivasa Rao</t>
  </si>
  <si>
    <t>Dr. Aritra Narayan Hisabia</t>
  </si>
  <si>
    <t>Dr. G. KalaiArasi</t>
  </si>
  <si>
    <t>Mr. T Narasimha rao</t>
  </si>
  <si>
    <t>Mr. K. Mohanakrishna</t>
  </si>
  <si>
    <t>Coach</t>
  </si>
  <si>
    <t>Dr. S Sreekantha Reddy</t>
  </si>
  <si>
    <t>ASSISTANT PROFESSOR (SENIOR LEVEL)</t>
  </si>
  <si>
    <t>Dr. Abhinav Adarsh</t>
  </si>
  <si>
    <t>Mr. Sambasiva Rao Sarvepalli</t>
  </si>
  <si>
    <t>Mr. Bhamidipati Ravi Teja</t>
  </si>
  <si>
    <t>Dr. Shivakumar G</t>
  </si>
  <si>
    <t>DR. Mamilla R Charan Raja</t>
  </si>
  <si>
    <t>Ms. Puli Navya</t>
  </si>
  <si>
    <t>Ms. Parchuri Vijaya lakshmi</t>
  </si>
  <si>
    <t>Dr. Malathi Balasubramaniyan</t>
  </si>
  <si>
    <t>Dr. Murla Bhumi Reddy</t>
  </si>
  <si>
    <t>Mrs. Penumudi Sai Prasanna</t>
  </si>
  <si>
    <t>Dr. B. Sudha Rani</t>
  </si>
  <si>
    <t>Mr. Rayaprolu L.V.S. Sankara Hareesh</t>
  </si>
  <si>
    <t>Ms. Karumuru Nagarani</t>
  </si>
  <si>
    <t>Ms. Kakarlamudi Bhanu Teja</t>
  </si>
  <si>
    <t>Mrs. Ch. Sirisha</t>
  </si>
  <si>
    <t>Ms.Doddaka Venkata Naga Mounika</t>
  </si>
  <si>
    <t>Dr. KAMAKHYA PAUL</t>
  </si>
  <si>
    <t>mr. sk. khader basha</t>
  </si>
  <si>
    <t>construction</t>
  </si>
  <si>
    <t>Dr. srinivasarao kasarla</t>
  </si>
  <si>
    <t>MR. Imalla rajkumar</t>
  </si>
  <si>
    <t>Asst. Con Supervisor</t>
  </si>
  <si>
    <t>ms. g. naga chandrika</t>
  </si>
  <si>
    <t>Dr. Bandi Guravaiah</t>
  </si>
  <si>
    <t>Dr. Paladugu Praveen Kumar</t>
  </si>
  <si>
    <t>Dr. Kummara Naresh</t>
  </si>
  <si>
    <t>Mr. v. anil kumar</t>
  </si>
  <si>
    <t>mr. k. dayakar</t>
  </si>
  <si>
    <t>dr. t. h. lalrokhawma</t>
  </si>
  <si>
    <t>Dr. rahamat shaikh</t>
  </si>
  <si>
    <t>mr. p. kiran kumar</t>
  </si>
  <si>
    <t>ms. t. sujatha</t>
  </si>
  <si>
    <t>dr. amit kumar singh</t>
  </si>
  <si>
    <t>dr. N. harisha</t>
  </si>
  <si>
    <t>mr. joshua remlalliana</t>
  </si>
  <si>
    <t>tra</t>
  </si>
  <si>
    <t>mr.y. bhanu prasad</t>
  </si>
  <si>
    <t>dr. makkena anusha</t>
  </si>
  <si>
    <t>ms. raveena begum</t>
  </si>
  <si>
    <t>mr.ch.gopi chand</t>
  </si>
  <si>
    <t>Fitter</t>
  </si>
  <si>
    <t>mr. a. nageswara rao</t>
  </si>
  <si>
    <t>carpenter</t>
  </si>
  <si>
    <t>Mr. K. Satyanarayana</t>
  </si>
  <si>
    <t>mr.d.vamsi</t>
  </si>
  <si>
    <t>mr. g. siva manikanta</t>
  </si>
  <si>
    <t>Mr. P. Somaiah</t>
  </si>
  <si>
    <t>Computer Lab technician</t>
  </si>
  <si>
    <t>Ms. Perumalla Asha</t>
  </si>
  <si>
    <t>Ms. Mannava Divya</t>
  </si>
  <si>
    <t>mr. romil aryan</t>
  </si>
  <si>
    <t>Dr. lingutla geethanjali</t>
  </si>
  <si>
    <t>dr. u. pandu</t>
  </si>
  <si>
    <t>Dr. g. siva nagaraju</t>
  </si>
  <si>
    <t>Dr. Pusarla Susmitha</t>
  </si>
  <si>
    <t>mr. v. abhinav deep dora</t>
  </si>
  <si>
    <t>Mr. Kolakaluri Ratna Kishore</t>
  </si>
  <si>
    <t>DR Bibin K</t>
  </si>
  <si>
    <t>Mr. P. Ankamma Rao</t>
  </si>
  <si>
    <t>Jr. Accountant</t>
  </si>
  <si>
    <t>Ms. Kotha Mounika</t>
  </si>
  <si>
    <t>Ms. S. Prabhavathi</t>
  </si>
  <si>
    <t>Mr. Ravindra Babu v</t>
  </si>
  <si>
    <t>Ms. Yellaboina Sailaja</t>
  </si>
  <si>
    <t>Ms. Shaik Reshma</t>
  </si>
  <si>
    <t>Ms. Ch. Yamini</t>
  </si>
  <si>
    <t>Ms. Devarapalli Manasa</t>
  </si>
  <si>
    <t>Dr. Biyyala Srinivasulu</t>
  </si>
  <si>
    <t xml:space="preserve">Ms. Motupalli Sailaja </t>
  </si>
  <si>
    <t>Dr. Mohammed Anwar Ali</t>
  </si>
  <si>
    <t>Ms. D. Krupa Jyothirmai</t>
  </si>
  <si>
    <t>Jr. Counselling Psychologist</t>
  </si>
  <si>
    <t>Dr. Rajanand Hiremath</t>
  </si>
  <si>
    <t>Dr. Jyothi Veerayya Hosamath</t>
  </si>
  <si>
    <t>Ms. Neelam Aiswarya</t>
  </si>
  <si>
    <t>Mr. Mannam Jaya Raju</t>
  </si>
  <si>
    <t>Ms. Jonnalagadda Neelima Rani</t>
  </si>
  <si>
    <t>Ms. P. Mastan Bee</t>
  </si>
  <si>
    <t>Mrs. Magham Sumalatha</t>
  </si>
  <si>
    <t>Ms. Radhika Guntupalli</t>
  </si>
  <si>
    <t>Dr. S. Durga</t>
  </si>
  <si>
    <t>Ms. D. Lakshmi Prasanna</t>
  </si>
  <si>
    <t>Dr. Jawad Ahmad Dar</t>
  </si>
  <si>
    <t>Mr. P. Venkata Rajulu</t>
  </si>
  <si>
    <t>Dr. Mohammed Shameem K K</t>
  </si>
  <si>
    <t>Dr. Sivasankar Mandal Baidya</t>
  </si>
  <si>
    <t>Dr. Michael Cholines Pedapudi</t>
  </si>
  <si>
    <t>Ms. V. Sai Spandana</t>
  </si>
  <si>
    <t>Dr. Bishnu Prasad Mishra</t>
  </si>
  <si>
    <t>Ms. K. Vijaya Lakshmi</t>
  </si>
  <si>
    <t>Ms. Nemalikanti Mounika</t>
  </si>
  <si>
    <t>Dr. Rushi Prasad Sahoo</t>
  </si>
  <si>
    <t>Ms. Patakamudi Lakshmi</t>
  </si>
  <si>
    <t>Planning Engineer</t>
  </si>
  <si>
    <t>Mr. Ch. Vamsi Krishna</t>
  </si>
  <si>
    <t>MS. sailaja thota</t>
  </si>
  <si>
    <t>Dr. Abhishek Kumar</t>
  </si>
  <si>
    <t>Dr. Jayanta Bhattacharya</t>
  </si>
  <si>
    <t>Dr. Katuri Venkata Prasad</t>
  </si>
  <si>
    <t>Dr. Shaik John Saida</t>
  </si>
  <si>
    <t>Mr. Shaik Jani</t>
  </si>
  <si>
    <t>Mr. Mupparaju Veeraiah</t>
  </si>
  <si>
    <t>Dr. Dinesh K</t>
  </si>
  <si>
    <t>Dr. rani j. r</t>
  </si>
  <si>
    <t>Ms. inturu leela priya</t>
  </si>
  <si>
    <t>Dr. Naba Krushna Sabat</t>
  </si>
  <si>
    <t>Mr. N. Tirumala Rao</t>
  </si>
  <si>
    <t>technical executive</t>
  </si>
  <si>
    <t>Mr. Shaik Khadar Bhasha</t>
  </si>
  <si>
    <t>Assistant Physical Director</t>
  </si>
  <si>
    <t>Mr. S. Srinivasa Rao</t>
  </si>
  <si>
    <t>Mr. Y. Surendra</t>
  </si>
  <si>
    <t>Ms. Rajavarapu Chaitanya</t>
  </si>
  <si>
    <t>Mr. K. Saida Rao</t>
  </si>
  <si>
    <t>Technical Assistant</t>
  </si>
  <si>
    <t>Ms. M. Sirisha Jyothi</t>
  </si>
  <si>
    <t>Dr. Duvvuri Ravi Kiran</t>
  </si>
  <si>
    <t>Dr. Perabathula Satish</t>
  </si>
  <si>
    <t>Dr. Sanjay Kumar Gupta</t>
  </si>
  <si>
    <t>mrs. degala syamala</t>
  </si>
  <si>
    <t>Ms. Nandini vogirala</t>
  </si>
  <si>
    <t>Mrs. N. Archana</t>
  </si>
  <si>
    <t>DR. Subbarayudu Thunga</t>
  </si>
  <si>
    <t>Ms. Kolla Jyotsna</t>
  </si>
  <si>
    <t>mr. ravi varma golla</t>
  </si>
  <si>
    <t>asst. registrar (co-ordination)</t>
  </si>
  <si>
    <t>mr. j.r. ravi kiran kopelli</t>
  </si>
  <si>
    <t>Dr. Jerripotu Gopala Rao</t>
  </si>
  <si>
    <t>Dr. Balakrishnama Manohar</t>
  </si>
  <si>
    <t>Ms. Susmita Saha Sarkar</t>
  </si>
  <si>
    <t>Ms. G. Mahalakshmi</t>
  </si>
  <si>
    <t>Dr. Ajoy Kumar Nandy</t>
  </si>
  <si>
    <t>Ms. T. Soujanya</t>
  </si>
  <si>
    <t>Dr. Padakanti Rakesh</t>
  </si>
  <si>
    <t>Dr. O. Bhaskar</t>
  </si>
  <si>
    <t>Dr. Divya K</t>
  </si>
  <si>
    <t>Dr. T. Priyanka</t>
  </si>
  <si>
    <t>Ms. N. Anantha Lakshmi</t>
  </si>
  <si>
    <t>mr. ch. krishna chaitanya</t>
  </si>
  <si>
    <t>farm supervisor</t>
  </si>
  <si>
    <t>mr. d. damodara kalyan</t>
  </si>
  <si>
    <t>Mr. Chandramouli Uppalapati</t>
  </si>
  <si>
    <t>MR. VEMURI ANAND KUMAR</t>
  </si>
  <si>
    <t>mr. y. sai teja</t>
  </si>
  <si>
    <t>ms. vedantham venkata lakshmi anusha</t>
  </si>
  <si>
    <t>Dr. N. Santhosh</t>
  </si>
  <si>
    <t>Dr. Manigandan a</t>
  </si>
  <si>
    <t>MR. NEMALIKANTI RAJ KUMAR</t>
  </si>
  <si>
    <t>Ms.Pedamallu Niharika</t>
  </si>
  <si>
    <t>Dr. A. Selvam</t>
  </si>
  <si>
    <t>Dr. Akash Ajay</t>
  </si>
  <si>
    <t>Mr. Chukka Ajay Kumar</t>
  </si>
  <si>
    <t>MS. KARUMURU RAJAMANI</t>
  </si>
  <si>
    <t>MR. BOMMINENI SESHU BABU</t>
  </si>
  <si>
    <t>Ms.Ravuri Lalitha</t>
  </si>
  <si>
    <t>Dr. N. Bhargavi</t>
  </si>
  <si>
    <t>Dr. T. Srinivasa Reddy</t>
  </si>
  <si>
    <t>Dr.R.S.Padma Priya</t>
  </si>
  <si>
    <t>Dr. B. Jayalakshmi</t>
  </si>
  <si>
    <t>MR. YERA NETAJI RAO</t>
  </si>
  <si>
    <t>MS. KANAPARTHI SUJATHA</t>
  </si>
  <si>
    <t>Mr. K. Ashok Kumar</t>
  </si>
  <si>
    <t>dr. m. s. s. r. tejaswini</t>
  </si>
  <si>
    <t>MR. CHANDRASEKHAR KANNEGANTI</t>
  </si>
  <si>
    <t>Mr. Ritul Aryan</t>
  </si>
  <si>
    <t>Dr. M. Santhoshraju</t>
  </si>
  <si>
    <t>Dr. Yuvaraja S</t>
  </si>
  <si>
    <t>Dr. Eva Patel</t>
  </si>
  <si>
    <t>Dr. G. Veera Bhadra Chary</t>
  </si>
  <si>
    <t>Ms.G.S.S. Neeharika</t>
  </si>
  <si>
    <t>Dr. M Abou Raihan Rinku</t>
  </si>
  <si>
    <t>Ms. T. Leelavathy</t>
  </si>
  <si>
    <t>Dr. N. Nagendra Reddy</t>
  </si>
  <si>
    <t>Mr. L. Ganesh</t>
  </si>
  <si>
    <t>MS. CHUKKA SWARNA LALITHA</t>
  </si>
  <si>
    <t>mR. NALLURI BRAHMANAIDU</t>
  </si>
  <si>
    <t>mr. mutyalu navuluru</t>
  </si>
  <si>
    <t>Dr. M. Bharathi</t>
  </si>
  <si>
    <t>MS. PINAPATI RACHANA</t>
  </si>
  <si>
    <t>Computer Lab Technician</t>
  </si>
  <si>
    <t>Mr. D. Yedukondalu</t>
  </si>
  <si>
    <t>Dr. D. Rajyalakshmi</t>
  </si>
  <si>
    <t>MR. VADLAMUDI NAGARAJU</t>
  </si>
  <si>
    <t>WELDER</t>
  </si>
  <si>
    <t>MR. KUNCHALA SUDHEER BABU</t>
  </si>
  <si>
    <t>Dr. Parshuram Singh</t>
  </si>
  <si>
    <t>MS. KANAGALA LAVANYA</t>
  </si>
  <si>
    <t>MR. KESANI SRINIVASA RAO</t>
  </si>
  <si>
    <t>MS. N. DURGA NAGA SRAVANI</t>
  </si>
  <si>
    <t>MR. LUKKA GOPI</t>
  </si>
  <si>
    <t>MR. SHAIK VALI</t>
  </si>
  <si>
    <t>MR. D. DILEEP</t>
  </si>
  <si>
    <t>MR. KANAPARTHI MADESH KUMAR</t>
  </si>
  <si>
    <t>MS. PEDAPUDI TEJASWI</t>
  </si>
  <si>
    <t>MR. MADDASANI GOPI KRISHNA</t>
  </si>
  <si>
    <t>MR. GADDAM JOHN PAUL</t>
  </si>
  <si>
    <t>Ms. V. Saraswathi</t>
  </si>
  <si>
    <t>Mr. Chaganti Anand</t>
  </si>
  <si>
    <t>MR. KAKI RAKESH</t>
  </si>
  <si>
    <t>MR. KORNEPATI MAHESH BABU</t>
  </si>
  <si>
    <t>MS. KONDURU SIVA LEELA</t>
  </si>
  <si>
    <t>MS. S. SIVA PARVATHI</t>
  </si>
  <si>
    <t>MR. PALAPARTHY VENKATESH</t>
  </si>
  <si>
    <t>Ms. Jayamma Rodda</t>
  </si>
  <si>
    <t>Mr. Kumar Devapogu</t>
  </si>
  <si>
    <t>MR. AMARTHALURI SATISH BABU</t>
  </si>
  <si>
    <t>MR. PALLANTLA RAMU</t>
  </si>
  <si>
    <t>MR. ANANTHA SETTY VENKATA KALYAN</t>
  </si>
  <si>
    <t>MS. SWATHI KOGANTI</t>
  </si>
  <si>
    <t>MS. CHANDRAGIRI DIVYA MANJULA SAI LAKSHMI</t>
  </si>
  <si>
    <t>MS. KONDURU ADI LAKSHMI</t>
  </si>
  <si>
    <t>Mr. U. Venkateswara Rao</t>
  </si>
  <si>
    <t>MR. SHAIK SAIDALI</t>
  </si>
  <si>
    <t xml:space="preserve">PA SYSTEM TECHNICIAN </t>
  </si>
  <si>
    <t xml:space="preserve">Dr. Y S L V Narayana </t>
  </si>
  <si>
    <t>Dr. Anna Venkata Anjeneya Bharat Kumar</t>
  </si>
  <si>
    <t>Dr. Habibuddin Shaik</t>
  </si>
  <si>
    <t>Mr. Bharadwaja Chepuri</t>
  </si>
  <si>
    <t>Dr. Pitta Sundara Kumar</t>
  </si>
  <si>
    <t>MS. KATTULA ARUNA</t>
  </si>
  <si>
    <t>MR. JANGAM RAJ KUMAR</t>
  </si>
  <si>
    <t>MS. PARELLA TEJASWI</t>
  </si>
  <si>
    <t>MS. SHAIK RESHMA</t>
  </si>
  <si>
    <t>MR. MALLAVARAPU RAJESH</t>
  </si>
  <si>
    <t>MS. TALAKALA DEEPTHI</t>
  </si>
  <si>
    <t>Dr. A.V. Nageswara rao</t>
  </si>
  <si>
    <t>MS. MANNE RAJESWARI</t>
  </si>
  <si>
    <t>ms. syed reshma</t>
  </si>
  <si>
    <t>mr. shaik chand basha</t>
  </si>
  <si>
    <t>Trainer</t>
  </si>
  <si>
    <t>Ms. CHALLAGALI HARSHAVARDHINI</t>
  </si>
  <si>
    <t>JR. PROGRAMMER</t>
  </si>
  <si>
    <t>MR. JAMPANI KARTHIK</t>
  </si>
  <si>
    <t>mr. gujjula murali</t>
  </si>
  <si>
    <t>dr. pramod kaki</t>
  </si>
  <si>
    <t>MS. NANDURI DIVYA SRI</t>
  </si>
  <si>
    <t>MR. SHAIK MOULALI</t>
  </si>
  <si>
    <t>Dr. Guttikonda Prashanti</t>
  </si>
  <si>
    <t>Dr. Potluri Swarnalatha</t>
  </si>
  <si>
    <t>PDF</t>
  </si>
  <si>
    <t>MS. NALLAPATI BALA SRI DEVI</t>
  </si>
  <si>
    <t>MS. Pentyala JOSHNA LATHA</t>
  </si>
  <si>
    <t>MR. DEPURI VENUGOPAL</t>
  </si>
  <si>
    <t>MS. DUNNA ANITHA</t>
  </si>
  <si>
    <t>MRs. Perla Alekhya</t>
  </si>
  <si>
    <t>MR. SAYYAD NAZEER KHASIM</t>
  </si>
  <si>
    <t>MR. ANGALAKUDURU SASI KUMAR</t>
  </si>
  <si>
    <t>MR. GANTA KIRAN KUMAR</t>
  </si>
  <si>
    <t>Mr. SunIL Tej Boppudi</t>
  </si>
  <si>
    <t>Ms. Gunakala Archana</t>
  </si>
  <si>
    <t>MS. AREPALLI SIVA NAGA JYOTHI</t>
  </si>
  <si>
    <t>MR. MAHAMKALI SIVA PRASAD</t>
  </si>
  <si>
    <t>ASSISTANT FINANCE OFFICER</t>
  </si>
  <si>
    <t>Dr.m.sabareesh</t>
  </si>
  <si>
    <t>MS. CHATTI SNEHA</t>
  </si>
  <si>
    <t>MR. KAKUMANU KOTI LINGAM</t>
  </si>
  <si>
    <t>MR. PINAPATI BABU RAO</t>
  </si>
  <si>
    <t>MRS. PAMARTHI HEMA</t>
  </si>
  <si>
    <t>MS. DARSI TABITHA</t>
  </si>
  <si>
    <t>Dr. Prathap M</t>
  </si>
  <si>
    <t>MR. KATTA MANOJ</t>
  </si>
  <si>
    <t>MS. P. DEVI SAI LALITHA</t>
  </si>
  <si>
    <t>ASSISTANT REGISTRAR (HR-2)</t>
  </si>
  <si>
    <t>Dr. Nazma</t>
  </si>
  <si>
    <t>Dr. Durga Rao Kamireddy</t>
  </si>
  <si>
    <t>MR. MAMIDALA NAGA LAKSHMAN</t>
  </si>
  <si>
    <t>MS. YEMINENI BHAVYA</t>
  </si>
  <si>
    <t xml:space="preserve">MR. AMMANAMANCHI HIMA KIRAN </t>
  </si>
  <si>
    <t>Dr. Madagani Lavanya</t>
  </si>
  <si>
    <t>MRS. VEJENDLA SWATHI</t>
  </si>
  <si>
    <t>MS. PALADUGU SIRISHA</t>
  </si>
  <si>
    <t>MRS. M. DURGA BHAVANI</t>
  </si>
  <si>
    <t xml:space="preserve">MRS. K. SRILATHA </t>
  </si>
  <si>
    <t>MR. KODURU POORNA CHANDRA RAO</t>
  </si>
  <si>
    <t>MR. PATAKAMURI RAMU</t>
  </si>
  <si>
    <t>Site Engineer</t>
  </si>
  <si>
    <t>MR. PASUPULETI BALA SYAM KUMAR</t>
  </si>
  <si>
    <t>MRS. DESABOINA GAYATHRI</t>
  </si>
  <si>
    <t>Dr. Sasi Kiran Suddarsi</t>
  </si>
  <si>
    <t>mr. bhookya jani naik</t>
  </si>
  <si>
    <t>MR. KANCHARLA MAHESH BABU</t>
  </si>
  <si>
    <t>FIELD SUPERVISOR</t>
  </si>
  <si>
    <t>MR. RAYAPATI RAJ KUMAR</t>
  </si>
  <si>
    <t>SHIFT OPERATOR/ELECTRICIAN</t>
  </si>
  <si>
    <t>Ms. M. Srikantha Kumari</t>
  </si>
  <si>
    <t>Dr. Ch Koteswara Pavan</t>
  </si>
  <si>
    <t>dr. sayyad imtiyaz</t>
  </si>
  <si>
    <t>assistant registrar (r&amp;d)</t>
  </si>
  <si>
    <t>Dr. Molathoti Salomi</t>
  </si>
  <si>
    <t>mr. tadisetty venkatesh</t>
  </si>
  <si>
    <t>Mr. Mohana Venkateswara Rao mathi</t>
  </si>
  <si>
    <t>MS. MANAMALA SAGAR MARY</t>
  </si>
  <si>
    <t>MR.SHAIK MOHAMMAD IQBAL</t>
  </si>
  <si>
    <t>Dr. Kamakula N Murthy</t>
  </si>
  <si>
    <t>MS. PAREKALA JHANSI RANI</t>
  </si>
  <si>
    <t>MS. KACHARAM RAMYA</t>
  </si>
  <si>
    <t>ms.nelavalli sri sai mounika</t>
  </si>
  <si>
    <t>MS. PALUKURI DEEPIKA</t>
  </si>
  <si>
    <t>mr. paleti vinay kumar</t>
  </si>
  <si>
    <t>GUEST HOUSE CARE TAKER CUM ATTENDER</t>
  </si>
  <si>
    <t>Dr. Lanke Haritha</t>
  </si>
  <si>
    <t>MR. SHAIK DARYA HUSEN</t>
  </si>
  <si>
    <t>Mr. Brundavanam SatyaSai</t>
  </si>
  <si>
    <t>Mr. Policharla Gurubrahmam</t>
  </si>
  <si>
    <t xml:space="preserve">Mr. Bawankar Bhuvanesh Prabhakar </t>
  </si>
  <si>
    <t>MS. BAPANA TEJASWINI</t>
  </si>
  <si>
    <t>Corporate Relationship Manager</t>
  </si>
  <si>
    <t>IR</t>
  </si>
  <si>
    <t>MR. BAPATLA VENKAT SRAVAN KUMAR</t>
  </si>
  <si>
    <t>MR. CHATTI SURESH BABU</t>
  </si>
  <si>
    <t>Dr. Bhimavarapu Krishna Reddy</t>
  </si>
  <si>
    <t>Dr. Partha Sarothi Rakshit</t>
  </si>
  <si>
    <t>Director-In-Change</t>
  </si>
  <si>
    <t>mr.makarala narasimha rao</t>
  </si>
  <si>
    <t>ADDITIONAL FINANCE OFFICER</t>
  </si>
  <si>
    <t>Mrs. Savanam Krishna Veni</t>
  </si>
  <si>
    <t>Ms. Swathika R</t>
  </si>
  <si>
    <t>Dr. J. Vijitha Ananthi</t>
  </si>
  <si>
    <t>MR.MUNNANGI MADHUSUDANA REDDY</t>
  </si>
  <si>
    <t>MS.PASEM NAGALAKSHMI</t>
  </si>
  <si>
    <t>MR. RAVURI SAI BRAHMA CHARI</t>
  </si>
  <si>
    <t>Dr. Phanindra Thota</t>
  </si>
  <si>
    <t>MR.KANCHARLA SESI KUMAR</t>
  </si>
  <si>
    <t>MRS. SHAIK NAJINI</t>
  </si>
  <si>
    <t>MS. NANDURI RUTH VINUTHI</t>
  </si>
  <si>
    <t>MS. DASARI BALA TRIPURA SUNDARI</t>
  </si>
  <si>
    <t>MS. GANDU GAYATHRI</t>
  </si>
  <si>
    <t>MS.MUNIPALLI GOPIKA NAGA DURGA</t>
  </si>
  <si>
    <t>Ms. Shaik Reehana</t>
  </si>
  <si>
    <t>Dr. Heisnam Kenny Devi</t>
  </si>
  <si>
    <t>Mr. Bhagavatula Naga Sai Sri Ram</t>
  </si>
  <si>
    <t>Mr. T. Pavan Baji</t>
  </si>
  <si>
    <t>Ms. PALAPARTHI SEETHALAKSHMI</t>
  </si>
  <si>
    <t>Ms. P. Devi Sindhu</t>
  </si>
  <si>
    <t>Mr. Kondru Sharon Kumar</t>
  </si>
  <si>
    <t>MS. JARUGUMALLA DAYANIKA</t>
  </si>
  <si>
    <t>dr. AVVARU SUBRAMANYAM</t>
  </si>
  <si>
    <t>Mr. SRINIVASARAO PALLANTI</t>
  </si>
  <si>
    <t>Mr. D. Senthil</t>
  </si>
  <si>
    <t>Mr. P.L.N. Manoj Kumar</t>
  </si>
  <si>
    <t>Dr. Sateesh Reddy Avutu</t>
  </si>
  <si>
    <t>MR. PARISA SUBRAHMANYAM</t>
  </si>
  <si>
    <t>Ms. D. Urlamma</t>
  </si>
  <si>
    <t>Dr. Shaik Fathimabi</t>
  </si>
  <si>
    <t>ASSISTANT PROFESSOR (SELECTION GRADE)</t>
  </si>
  <si>
    <t>Mr. Kommu Kishore Babu</t>
  </si>
  <si>
    <t>Mrs. Vedala Aravinda Rohini</t>
  </si>
  <si>
    <t xml:space="preserve">MRS. P. VIJAYA LAKSHMI </t>
  </si>
  <si>
    <t>ACCOUNTANT (TRAINEE)</t>
  </si>
  <si>
    <t>Dr. M. Raja Rao</t>
  </si>
  <si>
    <t>Ms. Peeka Anusha</t>
  </si>
  <si>
    <t>Mr. Akhil Babu Edara</t>
  </si>
  <si>
    <t>Dr. Shantappa Duttarganvi</t>
  </si>
  <si>
    <t>Dr. James Deva Koresh H</t>
  </si>
  <si>
    <t>Mrs. VENKATA SUJATHA NALLAPATI</t>
  </si>
  <si>
    <t>Mrs. KAGGA SOWMYA</t>
  </si>
  <si>
    <t xml:space="preserve">MRS. MOPARTHI ANUSHA </t>
  </si>
  <si>
    <t>Mr. CHILAKA RAJA</t>
  </si>
  <si>
    <t>Mrs. SHAIK DILBAHAR</t>
  </si>
  <si>
    <t>MRS. PRATHIPATI SUREKHA</t>
  </si>
  <si>
    <t>Ms. N. Bhargavi</t>
  </si>
  <si>
    <t>MR. KANAGALA PRAJUL KUMAR</t>
  </si>
  <si>
    <t>Ms. Nakkala MoUNIKA</t>
  </si>
  <si>
    <t>Mr. KOKA BHAVANNARAYANA</t>
  </si>
  <si>
    <t>maintenance engineer</t>
  </si>
  <si>
    <t>Dr. Sri Lakshmi Manasa Dharanikota</t>
  </si>
  <si>
    <t>Mrs. VALLURI JAYASRI</t>
  </si>
  <si>
    <t>Mr. DANABOINA ANESH</t>
  </si>
  <si>
    <t>Mr. athota pavan</t>
  </si>
  <si>
    <t>Mr. DANDE VENKATESWARA RAO</t>
  </si>
  <si>
    <t>MS. SUJATHA SITTIKERA</t>
  </si>
  <si>
    <t>Mr. SHAIK NOORUDDIN</t>
  </si>
  <si>
    <t>Mr. TADIBOINA GOVARDHAN</t>
  </si>
  <si>
    <t>PA SYSTEM OPERATOR</t>
  </si>
  <si>
    <t>MS. PATHAN GOUSEPYARI</t>
  </si>
  <si>
    <t>Mr. PAPPULA VIJAY KUMAR</t>
  </si>
  <si>
    <t>Ms. Koduru Vyshnavi</t>
  </si>
  <si>
    <t>Ms. KUNCHALA HIMAJA</t>
  </si>
  <si>
    <t>ASSISTANT MANAGER (DIGITAL MEDIA)</t>
  </si>
  <si>
    <t>Dr. CHANDALURI VENKATA SATYA RAGHU VEERA KUMAR</t>
  </si>
  <si>
    <t>Mr. MANNEM BALA KIRAN</t>
  </si>
  <si>
    <t>MS. AFROJA SYED</t>
  </si>
  <si>
    <t>Mr. THODETI ABHISHEK</t>
  </si>
  <si>
    <t>Ms. Yalavarthi Sai Eswari</t>
  </si>
  <si>
    <t>mr. gummadi yesu babu</t>
  </si>
  <si>
    <t>MS. BADUGU KAVERI</t>
  </si>
  <si>
    <t>Mr. SARDENA PRABHU CHARAN</t>
  </si>
  <si>
    <t xml:space="preserve">MR. N. SATYADEV </t>
  </si>
  <si>
    <t>SOFTWARE ENGINEER</t>
  </si>
  <si>
    <t>mr. pitchuka kamalesh</t>
  </si>
  <si>
    <t>Web Developer</t>
  </si>
  <si>
    <t>MR. KASULA PAVAN KUMAR</t>
  </si>
  <si>
    <t>mr. kurava sudhAKAR</t>
  </si>
  <si>
    <t>MR. CHAKRAVARTHI ALAPATI</t>
  </si>
  <si>
    <t>MR. PENUMOLU PRASANNA KUMAR</t>
  </si>
  <si>
    <t>Dr. N. Shiva Kumar</t>
  </si>
  <si>
    <t>MR. GUDIGUNTLA ARUN PRASANNA</t>
  </si>
  <si>
    <t>Mr. Sreekar Guddeti</t>
  </si>
  <si>
    <t>MR. SHAIK SALEEM BASHA</t>
  </si>
  <si>
    <t>Dr. Nageswara Rao Epuru</t>
  </si>
  <si>
    <t>Dr. Chukka Yamuna</t>
  </si>
  <si>
    <t>Dr. M. padma Devi</t>
  </si>
  <si>
    <t>Dr. ARPITA ROY</t>
  </si>
  <si>
    <t>Dr. Meghana Koorapati</t>
  </si>
  <si>
    <t>CHEIF EXECUTIVE OFFICER</t>
  </si>
  <si>
    <t>MR. RUTTALA HARI KIRAN</t>
  </si>
  <si>
    <t>DR. KOLIMI GUNDLA AMARNATH</t>
  </si>
  <si>
    <t>MR. MOHAMMED ZUBAIR AHAMED J</t>
  </si>
  <si>
    <t>DR. IMTIYAZ AHMAD BHAT</t>
  </si>
  <si>
    <t>MR. VALIVETI ANANDA DEEP</t>
  </si>
  <si>
    <t>DR. PETA SREENIVASULU</t>
  </si>
  <si>
    <t>DR. ARPITA MAJI</t>
  </si>
  <si>
    <t>DR. GURPREET SINGH SAUND</t>
  </si>
  <si>
    <t>Dr. JHILI MISHRA</t>
  </si>
  <si>
    <t>DR. BATTENA TRIVENI</t>
  </si>
  <si>
    <t>MS. PAVANI KARRA</t>
  </si>
  <si>
    <t>Teaching Associate</t>
  </si>
  <si>
    <t>MR. DIRISAM KIRAN</t>
  </si>
  <si>
    <t>MS. SURLA SIREESHA</t>
  </si>
  <si>
    <t>MR. DEEVI HEMANTH PAVAN</t>
  </si>
  <si>
    <t>DR. SOUMITRA DAS</t>
  </si>
  <si>
    <t>DR. NAPOLEAN JOSEPH A</t>
  </si>
  <si>
    <t>MS. P. ANURADHA</t>
  </si>
  <si>
    <t>MS. KOPURI ANITHA</t>
  </si>
  <si>
    <t xml:space="preserve"> DR. NENAVATH DASHARATH</t>
  </si>
  <si>
    <t>MR. AKHIL GADIPOGU</t>
  </si>
  <si>
    <t>Mrs. SANAM RAMA DEVI</t>
  </si>
  <si>
    <t>Mrs. NALLABOTHULA SRAVANI</t>
  </si>
  <si>
    <t xml:space="preserve">DR. PARIMI. RADHA KRISHNA KISHORE </t>
  </si>
  <si>
    <t>MR. BADHELI KRISHNAKANTH</t>
  </si>
  <si>
    <t>Mr. SHAIK MOHAMMED JABEER</t>
  </si>
  <si>
    <t>MR. SHAIK ALI SAHEB</t>
  </si>
  <si>
    <t>Mrs. SHAIK BAJIDBI</t>
  </si>
  <si>
    <t>Designer</t>
  </si>
  <si>
    <t>Mrs. Somarouthu Naga Satya Narmada</t>
  </si>
  <si>
    <t>Mr. Kolakaluri Joseph Raju</t>
  </si>
  <si>
    <t>Ms. MADDU HARITHA</t>
  </si>
  <si>
    <t>DR. D ANIL KUMAR</t>
  </si>
  <si>
    <t>Mr. PULIVARTHI SUNNY</t>
  </si>
  <si>
    <t>DR. RAMESH BABU PARA</t>
  </si>
  <si>
    <t>DR. CHITRAN D</t>
  </si>
  <si>
    <t>DR. PRAKASH PRIYADARSHI</t>
  </si>
  <si>
    <t>Dr. PRAVEENA KATI</t>
  </si>
  <si>
    <t>Mr. SHAIK SUBANI</t>
  </si>
  <si>
    <t>Mr. NIDIGINTI YOGENDRA VARMA</t>
  </si>
  <si>
    <t xml:space="preserve">MS. SAURYA MISHRA </t>
  </si>
  <si>
    <t>ASSOCIATE - PROJECTS</t>
  </si>
  <si>
    <t>DR. JITENDRIYA SWAIN</t>
  </si>
  <si>
    <t>DR. SHAREENA JASMIN P.K</t>
  </si>
  <si>
    <t>DR. PERUMAL DEVARAJI</t>
  </si>
  <si>
    <t>DR. VIJAYKUMAR</t>
  </si>
  <si>
    <t>DR. MUHAMMED SIHAS K.M</t>
  </si>
  <si>
    <t>Ms. BONDALAPATI KAVYA</t>
  </si>
  <si>
    <t>Mr. THORLIKONDA SRINIVASU</t>
  </si>
  <si>
    <t>Mr. BAPATLA SOMESWAR</t>
  </si>
  <si>
    <t>DR. SATYA VENKATA KISHORE PULAVARTHI</t>
  </si>
  <si>
    <t>MS. UPPALA SIRISHA</t>
  </si>
  <si>
    <t>MR. SRIHARSHA MANNAVA</t>
  </si>
  <si>
    <t>Coordinator - Civil Services</t>
  </si>
  <si>
    <t>DR. LAVANYA PATIBANDLA</t>
  </si>
  <si>
    <t>DR. rer. nat. LABEESH KUMAR</t>
  </si>
  <si>
    <t>MS. BHAVANI CHAUDHARY</t>
  </si>
  <si>
    <t>Jr. Counselling Psychologist (Trainee)</t>
  </si>
  <si>
    <t xml:space="preserve">DR. M. ASWINI  </t>
  </si>
  <si>
    <t>Mrs. SUDDAPALLI MOUNIKA</t>
  </si>
  <si>
    <t>Mrs. RAYALA RATNA KUMARI</t>
  </si>
  <si>
    <t>DR. PAPATLA RAJESH</t>
  </si>
  <si>
    <t>Mr. CHEREDDY KIRAN KUMAR</t>
  </si>
  <si>
    <t>SENIOR CORPORATE RELATIONSHIP MANAGER</t>
  </si>
  <si>
    <t>MS. YAKALA ASHA</t>
  </si>
  <si>
    <t>MS. DAKSHAYANI VIRUPAKSHAM</t>
  </si>
  <si>
    <t>Sr. Counselling Psychologist</t>
  </si>
  <si>
    <t>Mrs. DASARI SRIKALA</t>
  </si>
  <si>
    <t>MR. KOMIRI MOHANA MANIKANTA</t>
  </si>
  <si>
    <t>Mr. kanna Hareesh</t>
  </si>
  <si>
    <t>MS. SUMATHI PILLI</t>
  </si>
  <si>
    <t>Ms. SESHADRI SRINIKHITHA</t>
  </si>
  <si>
    <t>DR. SHAIK ABDUL RAHAMAN</t>
  </si>
  <si>
    <t>Mr. CHAITANYA USIRIKAYALA</t>
  </si>
  <si>
    <t>CORPORATE RELATIONSHIP MANAGER(TRAINEE)</t>
  </si>
  <si>
    <t>DR. NEELAM MOUNIKA</t>
  </si>
  <si>
    <t>Dr. G. Prasanna</t>
  </si>
  <si>
    <t>Mr. THOTA MUTHYALAYYA</t>
  </si>
  <si>
    <t>MR. CHANDAN KUMAR SAHu</t>
  </si>
  <si>
    <t xml:space="preserve">MRS. TALLURI NAGA SUSHMA </t>
  </si>
  <si>
    <t>MR. MORLA VENKATA SAI RAM</t>
  </si>
  <si>
    <t>DR. AJAY ARYA</t>
  </si>
  <si>
    <t>ms. ARPITA PANIGRAHI</t>
  </si>
  <si>
    <t>DR. GABBI REDDY KEERTHI</t>
  </si>
  <si>
    <t>Dr. V. PARVATI SAI ARUN P</t>
  </si>
  <si>
    <t>Mr. Shyam Sunder Jannu Soloman</t>
  </si>
  <si>
    <t>Mrs. JANGAM JYOTSNA</t>
  </si>
  <si>
    <t>MR. KUKKAPALLI KRISHNA TEJA</t>
  </si>
  <si>
    <t>Aptitude and Reasoning Trainer</t>
  </si>
  <si>
    <t>MR. PASAM RAJESH</t>
  </si>
  <si>
    <t>MRS. DONDAPATI BINDU</t>
  </si>
  <si>
    <t>MR. MUPPALA AVINASH</t>
  </si>
  <si>
    <t>Mr. GUNTI NARENDRA KUMAR</t>
  </si>
  <si>
    <t>Mr. VAKA TANMAI SAI GOUD</t>
  </si>
  <si>
    <t>Ms. SETTIPALLI SREE POOJITHA</t>
  </si>
  <si>
    <t>MR. PENTELA RAJA ANAND</t>
  </si>
  <si>
    <t>PART-TIME COACH</t>
  </si>
  <si>
    <t>MR. JARUGUMALLI AKKAIAH</t>
  </si>
  <si>
    <t>TRANSPORT SUPERVISOR CUM STOREKEEPER</t>
  </si>
  <si>
    <t>MR. MAILA PAVAN KUMAR</t>
  </si>
  <si>
    <t>Mr. dakarapu prudhvi nadh</t>
  </si>
  <si>
    <t>WORKSHOP TECHNICIAN</t>
  </si>
  <si>
    <t>Ms. Devarakonda Gayatri</t>
  </si>
  <si>
    <t>Ms. manju bhargavi bapatla</t>
  </si>
  <si>
    <t>Video editor</t>
  </si>
  <si>
    <t>Mr. Jampani Surya Charan</t>
  </si>
  <si>
    <t>MS. NARRA BHAGYALAKSHMI</t>
  </si>
  <si>
    <t>MR. MOGILIPALEPU KOMAL KRISHNA</t>
  </si>
  <si>
    <t>Mr. rudrapati sagar babu</t>
  </si>
  <si>
    <t>DR. FAYAZ AHMAD NAIKOO</t>
  </si>
  <si>
    <t>Mr. Nancharaiah Parella</t>
  </si>
  <si>
    <t>ms. GUDIPATI SRAVYA</t>
  </si>
  <si>
    <t>Mr. ORSU KOTESWARA RAO</t>
  </si>
  <si>
    <t>Ms. Annavarapu Blessy</t>
  </si>
  <si>
    <t>Mr. Dasari Govardhan Reddy</t>
  </si>
  <si>
    <t>public relation officer</t>
  </si>
  <si>
    <t>Mrs. Kesani Divya</t>
  </si>
  <si>
    <t>MrS. NEELA MOUNIKA</t>
  </si>
  <si>
    <t>MR. GORANTLA SAI NAG</t>
  </si>
  <si>
    <t>BUILDING MAINTENANCE SUPERVISOR</t>
  </si>
  <si>
    <t>MR. NARESH KUMAR ALUMOLU</t>
  </si>
  <si>
    <t>Mr. Chennamsetti jagadiswara rao</t>
  </si>
  <si>
    <t>ms. patnam bindu sri</t>
  </si>
  <si>
    <t>Mr. Shaik ajmeer</t>
  </si>
  <si>
    <t>dr. md hasanuzzaman</t>
  </si>
  <si>
    <t>DR. P. GIRI PRASAD</t>
  </si>
  <si>
    <t>MR. SANJAYA KUMAR SETHI</t>
  </si>
  <si>
    <t>MRS. NAGURU NAGALAKSHMI</t>
  </si>
  <si>
    <t>ms. Ambati Chandana</t>
  </si>
  <si>
    <t>Mr. Shaik Ahamadalisha</t>
  </si>
  <si>
    <t>mr. A. Siva Naga Ram Gopal</t>
  </si>
  <si>
    <t>MR. DASARI EDUKONDALU</t>
  </si>
  <si>
    <t>MS. KUNCHALA POOJITHA</t>
  </si>
  <si>
    <t>LIFT OPERATOR</t>
  </si>
  <si>
    <t>MR. CHEBROLU PRAVEEN KUMAR</t>
  </si>
  <si>
    <t>MR. ALAKUNTA SIVA RAO</t>
  </si>
  <si>
    <t>MR. NAMA AJAY NAGENDRA</t>
  </si>
  <si>
    <t>MR. SHASHI MANI</t>
  </si>
  <si>
    <t>MR. LALU NAICK BHUKYA</t>
  </si>
  <si>
    <t>MR. SIBGATUULLAH NAZKI</t>
  </si>
  <si>
    <t>MS. upalanchi vara lakshmi</t>
  </si>
  <si>
    <t>MR. shaik khadersha</t>
  </si>
  <si>
    <t>MS. KORRAPATI CHRISTIANA ROSE ELIZABETH</t>
  </si>
  <si>
    <t>MR. nallabothula brahmaiah</t>
  </si>
  <si>
    <t>MR. KATARI VENKATA SAI KUMAR</t>
  </si>
  <si>
    <t>VIDEO EDITOR</t>
  </si>
  <si>
    <t>MR. THANNEERU SIVA PRASAD</t>
  </si>
  <si>
    <t>Mr. Guntupalli Gopinath</t>
  </si>
  <si>
    <t>Mrs. gopavarapu prasanthi</t>
  </si>
  <si>
    <t>MR. RANJAN PRAKASH</t>
  </si>
  <si>
    <t>MS. pathan razia sultana</t>
  </si>
  <si>
    <t>MR. DUGGI RAVIKRISHNA</t>
  </si>
  <si>
    <t>MS. TUPAKULA TAHERA</t>
  </si>
  <si>
    <t>MS. KASUKURTHI RAJESWARI</t>
  </si>
  <si>
    <t>MR. RAPOLU SAI KUMAR</t>
  </si>
  <si>
    <t>mr. kokkiligadda suresh</t>
  </si>
  <si>
    <t>mrs. chundi sindhuri</t>
  </si>
  <si>
    <t>Asst. director - outreach &amp; brand building activities</t>
  </si>
  <si>
    <t>DR. monex sharma</t>
  </si>
  <si>
    <t>MRS. RAGAM PADMAJA</t>
  </si>
  <si>
    <t>MRS. APPANA USHA KIRAN</t>
  </si>
  <si>
    <t>DR. SELVARAJ RUPA</t>
  </si>
  <si>
    <t>ASSISTANT PROFESSOR (ENTRY LEVEL)</t>
  </si>
  <si>
    <t>MR. VIVEK KUMAR SAINI</t>
  </si>
  <si>
    <t>MR. PRAJWAL SUDHAKAR SONTAKKE</t>
  </si>
  <si>
    <t>MR. MIHIR BHATT</t>
  </si>
  <si>
    <t>MR. HITENDRA SINGH</t>
  </si>
  <si>
    <t>DR. VIVEK MENON U</t>
  </si>
  <si>
    <t>DR. HERANMOY MAITY</t>
  </si>
  <si>
    <t>MR. SWETABH SINHKU</t>
  </si>
  <si>
    <t>MS. ANNAM DURGA BHAVANI</t>
  </si>
  <si>
    <t>MS. KOLLABATHULA NIMNAGASRI</t>
  </si>
  <si>
    <t>MS. KAGGA VYSHNAVI</t>
  </si>
  <si>
    <t>MR. SAURABH SHRIVASTAV</t>
  </si>
  <si>
    <t>MS.CHAVA JHANSISRI SATYA</t>
  </si>
  <si>
    <t>TRAINEE COUNSELLING PSYCHOLOGIST</t>
  </si>
  <si>
    <t>mr.mannem krishna vamsi</t>
  </si>
  <si>
    <t>MS.JETTI MERCY</t>
  </si>
  <si>
    <t>MS.BHUKYA MANEESHA</t>
  </si>
  <si>
    <t>MR. SHAIK DEHTAJ</t>
  </si>
  <si>
    <t>MS.NESE BANDHIKE AKHILANDESWARI</t>
  </si>
  <si>
    <t>MS. KANDULA DIVYA</t>
  </si>
  <si>
    <t>MS.GADDAM TEJASWI</t>
  </si>
  <si>
    <t>MS.KALLURI MERCY BHIKSHVATHI</t>
  </si>
  <si>
    <t>MR.MADUGULA ANIL</t>
  </si>
  <si>
    <t>MS. YEMINENI SRAVANI</t>
  </si>
  <si>
    <t>MR.SYED NAFEES AHAMED</t>
  </si>
  <si>
    <t>MR.PALAVELLI VAMSI KRISHNA</t>
  </si>
  <si>
    <t>MRS.POLEPALI SAI VEERA VENKATA SAMHITHA</t>
  </si>
  <si>
    <t>MS.SHAIK NAZEEMA</t>
  </si>
  <si>
    <t>MS.NEELI SARVANI</t>
  </si>
  <si>
    <t>ms.shaik kareena yashmin</t>
  </si>
  <si>
    <t>MRS.VARAGANI TEJASWI</t>
  </si>
  <si>
    <t>MS.ARUMALLA GOPYA SRI</t>
  </si>
  <si>
    <t>Ms.BHIMAVARAPU JYOTHIKA</t>
  </si>
  <si>
    <t>MR. SANA RAVITEJESWAR REDDY</t>
  </si>
  <si>
    <t>Assistant Director - Outreach and Brand Building Activities</t>
  </si>
  <si>
    <t>MS.GUNTUR JYOTSNA</t>
  </si>
  <si>
    <t>MR.MUNIPALLI VEERENDRA</t>
  </si>
  <si>
    <t>MR.TALLURI LATESH BABU</t>
  </si>
  <si>
    <t>MS.KS ANJANA</t>
  </si>
  <si>
    <t>MS. BHAGYA SHREE NADAMALA</t>
  </si>
  <si>
    <t>MR. NARRA VENKATA VINAY KRISHNA</t>
  </si>
  <si>
    <t>Mr. Pavuluri Rama Krishna</t>
  </si>
  <si>
    <t>CAP - Research</t>
  </si>
  <si>
    <t>MR. VISHAL JAISWAL</t>
  </si>
  <si>
    <t>MR. PRASANT KUMAR SAHOO</t>
  </si>
  <si>
    <t>MR. DASEPALLI MUNI HEMANTH KUMAR</t>
  </si>
  <si>
    <t>MR. AKASH SUNA</t>
  </si>
  <si>
    <t>MR. BATHULA ANIL BABU</t>
  </si>
  <si>
    <t>MR. PRAVEEN KUMAR JANGIR</t>
  </si>
  <si>
    <t>MS. GANGIREDLA KARTHIKA</t>
  </si>
  <si>
    <t>MR. KOUSIK SAMANTA</t>
  </si>
  <si>
    <t>MS.UGGE NAGA NANDINI</t>
  </si>
  <si>
    <t>Mr. Srinivasa Rao Lukka</t>
  </si>
  <si>
    <t>MS. PALADUGU NAGA KAVYA</t>
  </si>
  <si>
    <t>MR.T.V.VAMSI KRISHNA</t>
  </si>
  <si>
    <t>Ms. Komal Chhaya</t>
  </si>
  <si>
    <t>Mr. dasari vinod kumar</t>
  </si>
  <si>
    <t>Mr. Simanta das</t>
  </si>
  <si>
    <t>DR.MRUDULA GUGGILLA</t>
  </si>
  <si>
    <t>MS.KONDAPALLI KRUPA SAGARI</t>
  </si>
  <si>
    <t>dr.ramesh kumar mojjada</t>
  </si>
  <si>
    <t>MR.SATTWIK BARUA</t>
  </si>
  <si>
    <t>MR. KANKANALA VENKATESWARA RAO</t>
  </si>
  <si>
    <t>MR. SATYAJEET PRAKASH</t>
  </si>
  <si>
    <t>dr.subham kumar sahoo</t>
  </si>
  <si>
    <t>MR. SAMMINGA ASHOK KUMAR</t>
  </si>
  <si>
    <t>DR. PARTHA SARKAR</t>
  </si>
  <si>
    <t>MS. BALLI SRILAKSHMI</t>
  </si>
  <si>
    <t>MS. CHUKKA DURGA</t>
  </si>
  <si>
    <t>MRS.MORAMPUDI SRAVIKA</t>
  </si>
  <si>
    <t xml:space="preserve">MRS.ALLADI VENNELA </t>
  </si>
  <si>
    <t>MR.ABHIJNAN PRITAM SARMA</t>
  </si>
  <si>
    <t>DR. SHIJIN. T.V</t>
  </si>
  <si>
    <t>DR. MO SADIQUE</t>
  </si>
  <si>
    <t>dr.gurusamy murugesan</t>
  </si>
  <si>
    <t>MR.SOURABH VISHWAKARMA</t>
  </si>
  <si>
    <t>MR.BHUKYA AKASH</t>
  </si>
  <si>
    <t>MR.SAIKAT MAJI</t>
  </si>
  <si>
    <t>MRS.SUNKARA ANITHA</t>
  </si>
  <si>
    <t>MRS.TALLURI JYOTHI</t>
  </si>
  <si>
    <t>MS.LAGADAPATI YUVANA</t>
  </si>
  <si>
    <t>DR.DEBASISH SADHUKHAN</t>
  </si>
  <si>
    <t>MR.ANIRUDH KHADE</t>
  </si>
  <si>
    <t>MRS. KOKILA M</t>
  </si>
  <si>
    <t>MR.SATWIK SINGH</t>
  </si>
  <si>
    <t>MS. BONTHA BEULAH</t>
  </si>
  <si>
    <t>MRS. PASALA ANJANI DEVI SAI</t>
  </si>
  <si>
    <t xml:space="preserve">MR. J. Rama Kishore </t>
  </si>
  <si>
    <t>MR. Chandu Srinivasa Rao</t>
  </si>
  <si>
    <t>MS. R. Vara Lakshmi</t>
  </si>
  <si>
    <t>Dr. K. Kalpana</t>
  </si>
  <si>
    <t>DR. P. Ashok Kumar</t>
  </si>
  <si>
    <t>Dr. N. Usha Rani</t>
  </si>
  <si>
    <t>DR. K. Annapurna</t>
  </si>
  <si>
    <t>MR. K. Ravi Kumar</t>
  </si>
  <si>
    <t>Dr.K. Praveen Kumar</t>
  </si>
  <si>
    <t xml:space="preserve"> Dr. M. Sarada</t>
  </si>
  <si>
    <t>DR. P. Joshua Reginald</t>
  </si>
  <si>
    <t>Dr. K.V. Krishna Kishore</t>
  </si>
  <si>
    <t>Dr. S. Deva Kumar</t>
  </si>
  <si>
    <t>Dr. Siva KoteswaraRao Chinnam</t>
  </si>
  <si>
    <t>Shaik Gousia</t>
  </si>
  <si>
    <t>[NULL]</t>
  </si>
  <si>
    <t>Dr. P. Nanjappa chetty</t>
  </si>
  <si>
    <t>visiting faculty</t>
  </si>
  <si>
    <t>Mr. J. Surya Chandram</t>
  </si>
  <si>
    <t>Mr. G. Veera babu</t>
  </si>
  <si>
    <t>Venkata Subba Rao P</t>
  </si>
  <si>
    <t>S.Rajesh Kumar</t>
  </si>
  <si>
    <t>k. hanumohan reddy</t>
  </si>
  <si>
    <t>Raghavaiah katuri</t>
  </si>
  <si>
    <t>Bohra Vinay Kumar Jain</t>
  </si>
  <si>
    <t>Ms. Kommoju C Sravanthi</t>
  </si>
  <si>
    <t>Ms. shaik shajeeya amren</t>
  </si>
  <si>
    <t>DR V. Nagi reddy</t>
  </si>
  <si>
    <t>mr. veera bhadrachary gade</t>
  </si>
  <si>
    <t>Dr. UMAMAHESWARARAO M</t>
  </si>
  <si>
    <t>ms. kota n venkata swathi rohini krishna</t>
  </si>
  <si>
    <t>ms. komala rayavarapu</t>
  </si>
  <si>
    <t>Mr. Mothukuri siva krishna prasad</t>
  </si>
  <si>
    <t>Mr. Chava Venkatesh</t>
  </si>
  <si>
    <t>MR. N. NIKHIL SAI</t>
  </si>
  <si>
    <t>Project asst.</t>
  </si>
  <si>
    <t>MR. G. Ankamma Rao</t>
  </si>
  <si>
    <t>MR. G. Mallikharjuna Rao</t>
  </si>
  <si>
    <t>MR. K. Srinivas</t>
  </si>
  <si>
    <t>Dr. N. Veeranjaneyulu</t>
  </si>
  <si>
    <t>Dr. P. Subba Rao</t>
  </si>
  <si>
    <t>MRS. J. Sandhya</t>
  </si>
  <si>
    <t>Dr. Phani Kumar. Katuri</t>
  </si>
  <si>
    <t>Mrs.P. Radha Madhavi</t>
  </si>
  <si>
    <t>Dr. M. Krishna Chennakesava Rao</t>
  </si>
  <si>
    <t>Ms. chereddy Sonali Sri Durga</t>
  </si>
  <si>
    <t>Mr. Komma hemanth kumar reddy</t>
  </si>
  <si>
    <t>Dr. A. Nagalakshmi</t>
  </si>
  <si>
    <t>Mr. Appana Sai Manideep</t>
  </si>
  <si>
    <t>ms. Shaik Shehanaz</t>
  </si>
  <si>
    <t>ms. Tellagola Sudha Rani</t>
  </si>
  <si>
    <t>ms. i bhavya swathi</t>
  </si>
  <si>
    <t>ms. salendra Sriharshitha</t>
  </si>
  <si>
    <t>ms. eeda naveena</t>
  </si>
  <si>
    <t>ms. gudapati ramyasri</t>
  </si>
  <si>
    <t>Mr. vookoti uma sai vara prasad</t>
  </si>
  <si>
    <t>Mr. m. chaitanya reddy</t>
  </si>
  <si>
    <t>mr. g. maruthi prasad</t>
  </si>
  <si>
    <t>Ms. T. Nagamalleswari</t>
  </si>
  <si>
    <t>Ms. mukkala priyanka</t>
  </si>
  <si>
    <t>Mohan Goud</t>
  </si>
  <si>
    <t>Mr. theyyagura m k reddy</t>
  </si>
  <si>
    <t>Mrs. U. Nalini</t>
  </si>
  <si>
    <t>Mr. P. Seshagiri Rao</t>
  </si>
  <si>
    <t>mr. amarendra babu</t>
  </si>
  <si>
    <t>Mr. Shaik Saibabu</t>
  </si>
  <si>
    <t>Mr. G. S. Sreenivas Gopinath</t>
  </si>
  <si>
    <t>Mr. B. Venkateswarlu</t>
  </si>
  <si>
    <t>reeja igneshia malar r</t>
  </si>
  <si>
    <t>Abburi mounikadurga</t>
  </si>
  <si>
    <t>mr. pothuraju pandi</t>
  </si>
  <si>
    <t>Mr. dasari manikanta swamy</t>
  </si>
  <si>
    <t>mr. Sk. gouse basha</t>
  </si>
  <si>
    <t>mr. eswar pagadala</t>
  </si>
  <si>
    <t>mr. loke shiva krishna</t>
  </si>
  <si>
    <t>MS. SYED HABIBUNNISA</t>
  </si>
  <si>
    <t>ASPARI CHINNAMAHAMMAD BHASHA</t>
  </si>
  <si>
    <t>DR. MUNIPALLE VAMSHI KRISHNA</t>
  </si>
  <si>
    <t>Dr. KOMMOJU LOVA RAJU</t>
  </si>
  <si>
    <t>MR. SUMANTHKUMAR PANGULURI</t>
  </si>
  <si>
    <t>MS. E. SWETHA</t>
  </si>
  <si>
    <t>MS. GUNTI HARIKA</t>
  </si>
  <si>
    <t>MR. S. POORNA CHANDRA SEKHAR</t>
  </si>
  <si>
    <t>MR. S. PRASAD</t>
  </si>
  <si>
    <t>TELECALLER</t>
  </si>
  <si>
    <t>MR. D. BHU CHANDRA SEKHAR</t>
  </si>
  <si>
    <t>MR. T. BAJI BABU</t>
  </si>
  <si>
    <t>MR. K. BALA KRISHNA</t>
  </si>
  <si>
    <t>MR. Y. SRIKANTH</t>
  </si>
  <si>
    <t>MR. N. GOPI KRISHNA</t>
  </si>
  <si>
    <t>MR. B. SESHUBABU</t>
  </si>
  <si>
    <t>mr. muagoti venkata Pavan</t>
  </si>
  <si>
    <t>MR. T. SREEDHAR</t>
  </si>
  <si>
    <t>Mrs. Divine dolfino .s</t>
  </si>
  <si>
    <t>Ms. Dirsumilli Himaja</t>
  </si>
  <si>
    <t>Dr. P. Vijaya Lakshmi</t>
  </si>
  <si>
    <t>Dr. E. deepak chowdary</t>
  </si>
  <si>
    <t>Mr. Shaik Riyaz</t>
  </si>
  <si>
    <t>ms. a sravya</t>
  </si>
  <si>
    <t>ms. s. harika krishna</t>
  </si>
  <si>
    <t>mr. ch. uday kumar</t>
  </si>
  <si>
    <t>ms. d. retz mahima</t>
  </si>
  <si>
    <t>mr. r. puttachari</t>
  </si>
  <si>
    <t>Optional Clubs</t>
  </si>
  <si>
    <t>mr. jagadish rana</t>
  </si>
  <si>
    <t>mr. ch. venu</t>
  </si>
  <si>
    <t>Mrs. nirmala ramesh</t>
  </si>
  <si>
    <t>mrs. kalyani</t>
  </si>
  <si>
    <t>mr. k. akhil</t>
  </si>
  <si>
    <t>Mr. k.s. charan</t>
  </si>
  <si>
    <t>mr. aravind</t>
  </si>
  <si>
    <t>MS. M. APARNA</t>
  </si>
  <si>
    <t>MS. S. NAGAMANI</t>
  </si>
  <si>
    <t>Dr. P. LAKSHMI NARAYANA</t>
  </si>
  <si>
    <t>MR. Kotla RAHUL WILSON</t>
  </si>
  <si>
    <t>MR. N. HARSHA VARDHAN REDDY</t>
  </si>
  <si>
    <t>MR. B. RAMAMOHANA REDDY</t>
  </si>
  <si>
    <t>MR. I. CHANDRA SEKHAR REDDY</t>
  </si>
  <si>
    <t>MR. G. PRUTHVI RAJU</t>
  </si>
  <si>
    <t>MR. K. SRIRAMI REDDY</t>
  </si>
  <si>
    <t>MR. Ambavaram PRATAP REDDY</t>
  </si>
  <si>
    <t>ms. p. swapna</t>
  </si>
  <si>
    <t>MS. D. BHARGAVI</t>
  </si>
  <si>
    <t>MS. SAMHITHA PRIYADARSINI</t>
  </si>
  <si>
    <t>mr. m. venkata subba rao</t>
  </si>
  <si>
    <t>mr. t. gangadhar reddy</t>
  </si>
  <si>
    <t>mr. emani siva krishna</t>
  </si>
  <si>
    <t>Dr. k. himabindu</t>
  </si>
  <si>
    <t>DR. V. ASWINI</t>
  </si>
  <si>
    <t>mr. p. satish kumar</t>
  </si>
  <si>
    <t>mr. m. nagarjuna</t>
  </si>
  <si>
    <t>MS. N. V. PADMAJA PHANI</t>
  </si>
  <si>
    <t>Mr. Y. Pavan Kumar Reddy</t>
  </si>
  <si>
    <t>MR. SHAIK SAI BABU</t>
  </si>
  <si>
    <t>MR. SHAIK SUBHANI</t>
  </si>
  <si>
    <t>MR. KARUMANCHI MEERAVALI</t>
  </si>
  <si>
    <t>MR. MUPPALLA VENKATA SAI SURYA PRATAP CHOWDARY</t>
  </si>
  <si>
    <t>MS. VENNAM SWATHI</t>
  </si>
  <si>
    <t>MR. DUDEKULA SIDDAIAH</t>
  </si>
  <si>
    <t>MS. GORrE NAGA JYOTHI SREE</t>
  </si>
  <si>
    <t>MR. ARUNKARTHIKEYAN K</t>
  </si>
  <si>
    <t>MRS. NEELI JYOTHI</t>
  </si>
  <si>
    <t>MR. B. DEVA KRUPA VARA NAVEEN KUMAR</t>
  </si>
  <si>
    <t>MS. ASHWINI M TEGGI</t>
  </si>
  <si>
    <t>MRS. KEERTHIKA K S</t>
  </si>
  <si>
    <t>K.BALA KRISHNA REDDY</t>
  </si>
  <si>
    <t>MR. K. KRISHNA CHAITANYA</t>
  </si>
  <si>
    <t>SENIOR RESEARCH FELLOW</t>
  </si>
  <si>
    <t>MS. Y. K. MAHA LAKSHMI</t>
  </si>
  <si>
    <t>MR. SRAVAN KUMAR S</t>
  </si>
  <si>
    <t>junior research fellow</t>
  </si>
  <si>
    <t>MR. ANIL KUMAR KARRA</t>
  </si>
  <si>
    <t>Dr.GUNTUPALLI GANGA PRASAD</t>
  </si>
  <si>
    <t>MR. KOTTNANA JANAKIRAM</t>
  </si>
  <si>
    <t>MS. BOKKA NEELIMA</t>
  </si>
  <si>
    <t>MS. A. SUSEELA</t>
  </si>
  <si>
    <t>MR. JULURU PAVANU SAI</t>
  </si>
  <si>
    <t>MR. CH. PAVAN SATYANARAYANA</t>
  </si>
  <si>
    <t>MR. S. SIVA KUMAR</t>
  </si>
  <si>
    <t>MS. P . SNEHA</t>
  </si>
  <si>
    <t>MR. N. ANIL KUMAR</t>
  </si>
  <si>
    <t>MR. YAMARTHI VENKATESWARA RAO</t>
  </si>
  <si>
    <t>MR. M. NARENDRA KUMAR</t>
  </si>
  <si>
    <t>MR. PRAMOD KAKI</t>
  </si>
  <si>
    <t>MS. G. DHANA lAKSHMI</t>
  </si>
  <si>
    <t>Mr. Lingamallu Naga Srinivasu</t>
  </si>
  <si>
    <t>Mr. D. Prasanth Varma</t>
  </si>
  <si>
    <t>MR. K. SIVA KRISHNA</t>
  </si>
  <si>
    <t>MR. RANGISETTI RAJASEKHAR</t>
  </si>
  <si>
    <t>MR. TIRUPATHAIAH KANAPARTHI</t>
  </si>
  <si>
    <t>MR. CHANDALURI VENKATA SATYA RAGU VEERA KUMAR</t>
  </si>
  <si>
    <t>MS. KOTHALA LAKSHMI PRASANNA</t>
  </si>
  <si>
    <t>MS. PRAVEENA KATI</t>
  </si>
  <si>
    <t>MR. NUNAVATH RAMAKRISHNA</t>
  </si>
  <si>
    <t>MS. PATCHALA RATNAPRIYA</t>
  </si>
  <si>
    <t>MR. MAHABUBSUBHANI pathan</t>
  </si>
  <si>
    <t>MS. TADIGIRI ARUNA</t>
  </si>
  <si>
    <t>MS. KASTURI VENKATA VINETHA</t>
  </si>
  <si>
    <t>MS. PONDURI VASANTHI</t>
  </si>
  <si>
    <t>MR. ANANDKUMAR MYLA</t>
  </si>
  <si>
    <t>MR. G. SUDHARSANREDDY</t>
  </si>
  <si>
    <t>MS. JAKKA VENKATALAKSHMI</t>
  </si>
  <si>
    <t>PROJECT ASSOCIATE</t>
  </si>
  <si>
    <t>mr. mukesh g</t>
  </si>
  <si>
    <t>MR. M SANTHOSH KUMAR</t>
  </si>
  <si>
    <t>MR. KRUPAKAR M</t>
  </si>
  <si>
    <t>MS. P D S S S SIVA DURGA</t>
  </si>
  <si>
    <t>MS. G.S.N. SRAVYA</t>
  </si>
  <si>
    <t>MR. CH. PRAVEEN KUMAR</t>
  </si>
  <si>
    <t>Mr. Ravula Nagaraju</t>
  </si>
  <si>
    <t>MRS. E. HYMAVATHI</t>
  </si>
  <si>
    <t>MS. B. SPANDANA</t>
  </si>
  <si>
    <t>MS. K.S. RAJEESHA JOSHI</t>
  </si>
  <si>
    <t>Mr. Syed Khaja Mohiddin</t>
  </si>
  <si>
    <t>K Praveen</t>
  </si>
  <si>
    <t>MS. G. VIJAYA LAKSHMI</t>
  </si>
  <si>
    <t>Mr. S. Suresh</t>
  </si>
  <si>
    <t>MR. K. Hanumantha Rao</t>
  </si>
  <si>
    <t>MS. BANDI JYOSTNA</t>
  </si>
  <si>
    <t>MR. M. V. PRAVEEN REDDY</t>
  </si>
  <si>
    <t>Mrs. K. JAHNAVI</t>
  </si>
  <si>
    <t>MR. M. SREEKANTH</t>
  </si>
  <si>
    <t>MR. YADAVALLI SUBBA RAO</t>
  </si>
  <si>
    <t>MS. BORUGADDA SUDARSINI</t>
  </si>
  <si>
    <t>MS. GOLLA RAMYASREE</t>
  </si>
  <si>
    <t>MR. P. PERUMAL</t>
  </si>
  <si>
    <t>MR. BHUVANAGIRI SRIKANTH</t>
  </si>
  <si>
    <t>MS. KUKKALA PRIYANKA</t>
  </si>
  <si>
    <t>MS. I RASHMIKA</t>
  </si>
  <si>
    <t>MS. M. SRAVANI</t>
  </si>
  <si>
    <t>MS. B. TRIVENI</t>
  </si>
  <si>
    <t>MR. TEJESWARA KUMAR MANNEM</t>
  </si>
  <si>
    <t>MS. SHAIK DENEYAZ</t>
  </si>
  <si>
    <t>MS. VATTEM SRIDIVYA</t>
  </si>
  <si>
    <t>MS. P. VIDYA</t>
  </si>
  <si>
    <t>MR. B. ROHITH PHANEENDRA</t>
  </si>
  <si>
    <t>MS. MAHIMA BHARDWAJ</t>
  </si>
  <si>
    <t>MR. K. ARUNYUVARAJ</t>
  </si>
  <si>
    <t>MS. KUMBHA ANJANA</t>
  </si>
  <si>
    <t>MS. GANDIKOTA SRAVANI</t>
  </si>
  <si>
    <t>MR. P. GURUBRAHMAM</t>
  </si>
  <si>
    <t>MR. DANESWARA RAO BANDARU</t>
  </si>
  <si>
    <t>MS. KALVALA PRIYANKA</t>
  </si>
  <si>
    <t>MR. M.E. ANNADORAI</t>
  </si>
  <si>
    <t>MR. NAGESWARA RAO MUDDAPATI</t>
  </si>
  <si>
    <t>MR. CHAPIREDDY NAGARJUNA</t>
  </si>
  <si>
    <t>MS. BITRA VENKATA SRUJANA</t>
  </si>
  <si>
    <t>Ms. SHAIK SHAKEERA</t>
  </si>
  <si>
    <t>Ms. Anjitha V V</t>
  </si>
  <si>
    <t>Ms. Peram venkata Ramana</t>
  </si>
  <si>
    <t>Ms. Jayasri Thota</t>
  </si>
  <si>
    <t>Mr. Bajad Radhesham Baban</t>
  </si>
  <si>
    <t>Ms. Karuna Sindhuja Adapa</t>
  </si>
  <si>
    <t>CH. praveen kumar</t>
  </si>
  <si>
    <t>Mr. Javisetti Anjaneyulu</t>
  </si>
  <si>
    <t>Mrs. Hyndhavi Latha Karpurapu</t>
  </si>
  <si>
    <t>Mr. Yerramala Jagadeesh</t>
  </si>
  <si>
    <t>Mrs. Aswani Kuppala</t>
  </si>
  <si>
    <t>Mr. Chevula Anil Kumar</t>
  </si>
  <si>
    <t>Mr. Boosa Venkatanarayana</t>
  </si>
  <si>
    <t>Mrs. Aremanda Tushara</t>
  </si>
  <si>
    <t>Mrs. Nagamani Thanuboddi</t>
  </si>
  <si>
    <t>Ms. Ammanabrolu Mounika  Yesaswini</t>
  </si>
  <si>
    <t>Mr. Jonnalagadda Rama Koteswara Rao</t>
  </si>
  <si>
    <t>Ms. Chapke Sneha Chandrakant</t>
  </si>
  <si>
    <t>Ms. M K Raveena</t>
  </si>
  <si>
    <t>Ms. Gurugubelli Visalakshi</t>
  </si>
  <si>
    <t>Ms. Shalini R</t>
  </si>
  <si>
    <t>Mr. Vaddala Suresh</t>
  </si>
  <si>
    <t>Mrs. Lakshmi Patibandla</t>
  </si>
  <si>
    <t>Mr. Mathe Amaze</t>
  </si>
  <si>
    <t>MS. DULLA Likhitha</t>
  </si>
  <si>
    <t>MR. JAGADISH TULIMELLLI</t>
  </si>
  <si>
    <t>MR. PRAVEEN KUMAR PANDEY</t>
  </si>
  <si>
    <t>Mr. Shaik Althaf</t>
  </si>
  <si>
    <t>Ms. Ugge Naga Nandini</t>
  </si>
  <si>
    <t>Ms. Cheemalamarri Manasa Reddy</t>
  </si>
  <si>
    <t>Ms. Nalluri Maneesha</t>
  </si>
  <si>
    <t>Mr. Solomon Godwin Babu N.D</t>
  </si>
  <si>
    <t>Ms. Parameswari</t>
  </si>
  <si>
    <t>Mr. Sadam Venkata Girish Kumar</t>
  </si>
  <si>
    <t>Mr. Pathan Abdul Ishak</t>
  </si>
  <si>
    <t>Mr. Kunchala Naga Ashok</t>
  </si>
  <si>
    <t>MR. AMJAD KHAN A</t>
  </si>
  <si>
    <t>MR. ARSHAD C M</t>
  </si>
  <si>
    <t>Mr. Boddupalli Tandava Krishna</t>
  </si>
  <si>
    <t>Mr. Sandeep</t>
  </si>
  <si>
    <t xml:space="preserve">CEO for VFSTR TBI </t>
  </si>
  <si>
    <t>Mr. Pinapala Chanikya</t>
  </si>
  <si>
    <t>ERA</t>
  </si>
  <si>
    <t>Mr. Shaik Subani</t>
  </si>
  <si>
    <t>Mr. Gunuguntla Viswarupachari</t>
  </si>
  <si>
    <t>Ms. Karimunnissa Begum Shaik</t>
  </si>
  <si>
    <t>FT Scholar</t>
  </si>
  <si>
    <t>Ms. Shaik Shaheda</t>
  </si>
  <si>
    <t>Ms. N. Susmitha</t>
  </si>
  <si>
    <t>Ms. Battula Vijaya Purnima</t>
  </si>
  <si>
    <t>Mr. Hadole Yogesh Vinayak</t>
  </si>
  <si>
    <t>Mr. Ampasani Chennaiah</t>
  </si>
  <si>
    <t>Ms. P. Bhuvaneswari</t>
  </si>
  <si>
    <t>Mr. Nagari Venkata Prasanna</t>
  </si>
  <si>
    <t>Mr. JOSHUA VINCENT DONIPATI</t>
  </si>
  <si>
    <t>Mrs. Kakarla Pravallika</t>
  </si>
  <si>
    <t>Mr. Nimmakanti Bujji</t>
  </si>
  <si>
    <t>Mr. Bathula Anil Babu</t>
  </si>
  <si>
    <t>Mrs T Viveka</t>
  </si>
  <si>
    <t>Ms. ShAIK BajamMa</t>
  </si>
  <si>
    <t>Mr. Gugilla Harish Kumar Reddy</t>
  </si>
  <si>
    <t>Mr.S. Sathishkumar</t>
  </si>
  <si>
    <t>Mr. Shaik Aktahar</t>
  </si>
  <si>
    <t>Ms. G. Ishwarya</t>
  </si>
  <si>
    <t>Mr SAMMINGA Ashok Kumar</t>
  </si>
  <si>
    <t xml:space="preserve">Mrs. Sunkara Anitha </t>
  </si>
  <si>
    <t>Mr. Anki Reddy Bade</t>
  </si>
  <si>
    <t>ms.k. neerajasruthi</t>
  </si>
  <si>
    <t>Ms. D. Kiran Sai</t>
  </si>
  <si>
    <t>Mr. B. Rajasekhar</t>
  </si>
  <si>
    <t>Mr. chANDA hemantha mani kumar chakravarthi</t>
  </si>
  <si>
    <t>Mr. J. Nethra</t>
  </si>
  <si>
    <t>Mr. Kwame godsway kisseih</t>
  </si>
  <si>
    <t>Mr. M. YOUSUF</t>
  </si>
  <si>
    <t>Mr. Sk. Alla Bakshu</t>
  </si>
  <si>
    <t>Mrs. Ala.Khushala</t>
  </si>
  <si>
    <t>Ms. Shaik Ruksana</t>
  </si>
  <si>
    <t>Mr. P. Preetham</t>
  </si>
  <si>
    <t>Mr. K P Sony sigma</t>
  </si>
  <si>
    <t>Ms. P. Vijayalakshmi</t>
  </si>
  <si>
    <t>Ms. T. Rikhitha</t>
  </si>
  <si>
    <t>Ms. Kodapaneny sri ravamma</t>
  </si>
  <si>
    <t>Cook</t>
  </si>
  <si>
    <t>Ms. U. Yojitha</t>
  </si>
  <si>
    <t>Mr. S. Girish Kumar</t>
  </si>
  <si>
    <t>Dr. A. Sharada</t>
  </si>
  <si>
    <t>Mr. K. Krishna</t>
  </si>
  <si>
    <t>Ms. U. Anusha</t>
  </si>
  <si>
    <t>MR. D. SATYANARAYANA</t>
  </si>
  <si>
    <t>Ms. Atyala Nikitha Priya</t>
  </si>
  <si>
    <t>Mrs. Anitha Jyothi Ramasani</t>
  </si>
  <si>
    <t>Ms. Narapusetty Manaswini</t>
  </si>
  <si>
    <t>Dr. T.V. Ramana Rao</t>
  </si>
  <si>
    <t>Ms. Lurdhumary Kunduri</t>
  </si>
  <si>
    <t>Mrs. Bommisetti Jhansi K S Nandini</t>
  </si>
  <si>
    <t>Mr. Guduru Babu</t>
  </si>
  <si>
    <t>Ms. G. Chandana</t>
  </si>
  <si>
    <t>Mr. B.M. Bhaskar</t>
  </si>
  <si>
    <t>TECHNICAL CONSULTANT</t>
  </si>
  <si>
    <t>Ms. P. Siva Kumari</t>
  </si>
  <si>
    <t>MR. NOORIDNI</t>
  </si>
  <si>
    <t>Ms. D. Prasantha Valli</t>
  </si>
  <si>
    <t>Mrs. R. Naga Sirisha</t>
  </si>
  <si>
    <t>Mr. P. Ashok Kumar</t>
  </si>
  <si>
    <t>Ms. B. Bharathi</t>
  </si>
  <si>
    <t>Ms. P. Chaturya</t>
  </si>
  <si>
    <t>Ms. Sania Aiman</t>
  </si>
  <si>
    <t>MS. P. SOWJANYA</t>
  </si>
  <si>
    <t>Ms. K. Vijaya Kumari</t>
  </si>
  <si>
    <t>Ms. M. Sahithi</t>
  </si>
  <si>
    <t>Ms. P. Ramya</t>
  </si>
  <si>
    <t>Ms. K. Usha Rani</t>
  </si>
  <si>
    <t>M. VIJAYALAKSHMI</t>
  </si>
  <si>
    <t>Ms. Lakshmi Thanuja Kota</t>
  </si>
  <si>
    <t>Ms. T.Sri Vyshnavi</t>
  </si>
  <si>
    <t>Mr.Irfan Sayyad</t>
  </si>
  <si>
    <t>Mr.K.Raghavendra Murali</t>
  </si>
  <si>
    <t>Mr.P.Rahul</t>
  </si>
  <si>
    <t>Ms.A.Pravallika</t>
  </si>
  <si>
    <t>Mr. Barani Sevan C</t>
  </si>
  <si>
    <t>Ms. Ch. Uma Devi</t>
  </si>
  <si>
    <t>Mr. M. Hitesh Hari Hara Nandh</t>
  </si>
  <si>
    <t>Ms. G. Alekhya</t>
  </si>
  <si>
    <t>Ms. Swati Sharma</t>
  </si>
  <si>
    <t>Mr. T. Latesh Babu</t>
  </si>
  <si>
    <t>Ms. BHIMAVARAPU JYOTHIKA</t>
  </si>
  <si>
    <t>Ms. DEVAGANUGULA VIJAYA DURGA</t>
  </si>
  <si>
    <t>Ms.GADDAM TEJASWI</t>
  </si>
  <si>
    <t>Ms. KAGGA VYSHNAVI</t>
  </si>
  <si>
    <t>Ms. KOTHARI LAKSHMI KASTURI</t>
  </si>
  <si>
    <t>Mr. MUNIPALLI VEERENDRA</t>
  </si>
  <si>
    <t>Ms. SIRISHA SUREPALLI</t>
  </si>
  <si>
    <t>Ms. YEMINENI SRAVANI</t>
  </si>
  <si>
    <t>Mr. KUNAL PRABHAKAR</t>
  </si>
  <si>
    <t>Mr. MOHAMMED ELNAZER ABAZAR ELMAMOON BALL ELSHEEP</t>
  </si>
  <si>
    <t>Ms. KORRAPATI CHRISTIANA ROSE ELIZABETH</t>
  </si>
  <si>
    <t>Ms. SHAIK KAREENA YASHMIN</t>
  </si>
  <si>
    <t>Mr. ALLA PRANAVSAI REDDY</t>
  </si>
  <si>
    <t>Mrs. Jyothi Thirumalasetty</t>
  </si>
  <si>
    <t>Ms. Sunkara Ramya</t>
  </si>
  <si>
    <t>Ms. Tavva Nagamani</t>
  </si>
  <si>
    <t>Ms. Mannava. Janaki</t>
  </si>
  <si>
    <t>Ms. Dhidla Punnamma</t>
  </si>
  <si>
    <t>Ms. Koppula Siva Paravathi</t>
  </si>
  <si>
    <t>Mr. Shaik Hussain Basha</t>
  </si>
  <si>
    <t>Ms. Prasadam Hima Bindu</t>
  </si>
  <si>
    <t>Ms. Prathiba R</t>
  </si>
  <si>
    <t>Mr. Akasam Sai Pavan</t>
  </si>
  <si>
    <t>Ms. Ambati Hemalatha</t>
  </si>
  <si>
    <t>Mr. Nageswararao Arudala</t>
  </si>
  <si>
    <t>Ms. K. Harika</t>
  </si>
  <si>
    <t>Ms. Mallavalli Thambi Rani</t>
  </si>
  <si>
    <t>Ms. Karra Ramalakshmi</t>
  </si>
  <si>
    <t>Ms. Agilandeshwari</t>
  </si>
  <si>
    <t>Ms. Bandlamudi Himabindu</t>
  </si>
  <si>
    <t>Mr. Arkaprabha Majumdar</t>
  </si>
  <si>
    <t>Mr. Sripathi Siva Kumar</t>
  </si>
  <si>
    <t>Mr. Alla Yaswanth Naveen Kumar</t>
  </si>
  <si>
    <t>Ms. Kasimkota Kiranmai</t>
  </si>
  <si>
    <t>Ms. Runa Aktar Banu</t>
  </si>
  <si>
    <t>Ms. Kolachalama Divyavalli</t>
  </si>
  <si>
    <t>Mr. Veeranki Gopinadh</t>
  </si>
  <si>
    <t>Dr. V. Madhusudhan Rao</t>
  </si>
  <si>
    <t>Ms. K. Dhanusha</t>
  </si>
  <si>
    <t>Ms. Bommaganti Keerthana</t>
  </si>
  <si>
    <t>Mr. Satya Prasad CH.V.S.R.</t>
  </si>
  <si>
    <t>Ms. Setti SriDurga</t>
  </si>
  <si>
    <t>Ms. P.Hima Bindu</t>
  </si>
  <si>
    <t>Ms. Kolusu Tejasree</t>
  </si>
  <si>
    <t>DR. M. Nirupama Bhat</t>
  </si>
  <si>
    <t xml:space="preserve">Mr. A.M.V.Narayana Chari </t>
  </si>
  <si>
    <t>Ms. Kommathoti Manoja</t>
  </si>
  <si>
    <t>Ms. Bontha Harani</t>
  </si>
  <si>
    <t>CRA(Counselling Research Assistantship)</t>
  </si>
  <si>
    <t>Ms. Matangi Vijaya</t>
  </si>
  <si>
    <t>Ms. Sangati Bhavana</t>
  </si>
  <si>
    <t>Mr. Dulla Srinivas</t>
  </si>
  <si>
    <t>Ms. Gampa Haveela</t>
  </si>
  <si>
    <t>Ms. Chikkala Meghana</t>
  </si>
  <si>
    <t>Mr. Ravuri Anil Kumar</t>
  </si>
  <si>
    <t>Ms. Jamullamudi Vineela</t>
  </si>
  <si>
    <t>mR. rAMKUNJA dARSHAN</t>
  </si>
  <si>
    <t>Ms. Vissarapu Naga Lakshmi</t>
  </si>
  <si>
    <t>Ms. Kondru Dharani</t>
  </si>
  <si>
    <t>Ms. G. Shilpa</t>
  </si>
  <si>
    <t>Ms. Vemavarapu Lydia Vedam</t>
  </si>
  <si>
    <t>Mr. Donthamchetty Ravitheja</t>
  </si>
  <si>
    <t>Ms. Vasantha Sai Susmitha</t>
  </si>
  <si>
    <t>Ms. R. Chaitra</t>
  </si>
  <si>
    <t>Ms. Bhimavarapu Jyothika</t>
  </si>
  <si>
    <t>Mr. Alla Pranav Sai Reddy</t>
  </si>
  <si>
    <t>Ms. Gaddam Tejaswi</t>
  </si>
  <si>
    <t>Ms. Yemineni Sravani</t>
  </si>
  <si>
    <t>Mr. Othuri Siva Venkata Surya</t>
  </si>
  <si>
    <t>MS. ANYAM VISHNU SUJI PRIYA</t>
  </si>
  <si>
    <t>DR.Santhi Sri Kurra</t>
  </si>
  <si>
    <t>Mr. Sonti Bhanu Prasad</t>
  </si>
  <si>
    <t>Ms. A. Usha Kiran</t>
  </si>
  <si>
    <t>Ms. Shaik Kareena Yashmin</t>
  </si>
  <si>
    <t>Ms. Vyshnavi Kagga</t>
  </si>
  <si>
    <t>Ms. Shaik Nazeema</t>
  </si>
  <si>
    <t>Ms. Bhukya Maneesha</t>
  </si>
  <si>
    <t>Mr. D V N S M Karthik</t>
  </si>
  <si>
    <t>Mr. Koduru Jagrutha Aditya</t>
  </si>
  <si>
    <t>Mr. P. Durga prasad</t>
  </si>
  <si>
    <t>Ms. Burra Suchika</t>
  </si>
  <si>
    <t>Mr. Pathan Yaseen Khan</t>
  </si>
  <si>
    <t>Ms. Tellagarla Sudha Rani</t>
  </si>
  <si>
    <t>Mr. Ramadugu Koteswara Rao</t>
  </si>
  <si>
    <t>Mr. PaLlapolu Bhanu Sankar Reddy</t>
  </si>
  <si>
    <t>Mr. Rakesh Paladugu</t>
  </si>
  <si>
    <t>Mr. Sampath Kumar N</t>
  </si>
  <si>
    <t>Teaching Instructor</t>
  </si>
  <si>
    <t>Mr. Chunduru Pavan Kumar</t>
  </si>
  <si>
    <t>Mr. Banavath Sunil Kumar Naik</t>
  </si>
  <si>
    <t>Mr. Kondeti Suneel Kumar</t>
  </si>
  <si>
    <t>Mr. Vuyyuru Nithin</t>
  </si>
  <si>
    <t>goli madhuri</t>
  </si>
  <si>
    <t>MR. YADLAPALLI KRISHNA BABU</t>
  </si>
  <si>
    <t>Mr. Sk. Sadhiq Hussain</t>
  </si>
  <si>
    <t>Mr. Sattam Mandal</t>
  </si>
  <si>
    <t>K. Raghul</t>
  </si>
  <si>
    <t>Ms. Thushara P Das</t>
  </si>
  <si>
    <t>Mr. Fatha Rahman Alkhidir</t>
  </si>
  <si>
    <t>Ms. Rigdha Sarkar</t>
  </si>
  <si>
    <t>Mr. Pedada Leela Krishna</t>
  </si>
  <si>
    <t>MS. NEELI SARVANI</t>
  </si>
  <si>
    <t>MR. SYED NAFEES AHAMED</t>
  </si>
  <si>
    <t>MR. PALAVELLI VAMSI KRISHNA</t>
  </si>
  <si>
    <t>MS. R NITHYA</t>
  </si>
  <si>
    <t>MR. YADLAPALLI PETHURU</t>
  </si>
  <si>
    <t>Mr. Frederic Agasi Felix Vincent</t>
  </si>
  <si>
    <t xml:space="preserve">MS. VATTEPU MONICA </t>
  </si>
  <si>
    <t>Mr. Rudru Gowtham</t>
  </si>
  <si>
    <t>MS. NAGALAVANYA KALAVKOLLI</t>
  </si>
  <si>
    <t>Mr. Kunna Praveen</t>
  </si>
  <si>
    <t>Mr. DAKA KIRAN KUMAR REDDY</t>
  </si>
  <si>
    <t>Dr. POONAM MALAKONDAIAH</t>
  </si>
  <si>
    <t>ADVISOR</t>
  </si>
  <si>
    <t>Dr. YENDLURI VENKATA DASESWARA RAO</t>
  </si>
  <si>
    <t>Mr. Varagani Srinivasa Rao</t>
  </si>
  <si>
    <t>Ms. Boyina Bhagya Sri</t>
  </si>
  <si>
    <t>Mr. Shaik Sardar Jani</t>
  </si>
  <si>
    <t>Mr. Sayyad Moulali</t>
  </si>
  <si>
    <t>Dr. Ch. Raja Ramesh</t>
  </si>
  <si>
    <t>Ms. Addala Naga Durga</t>
  </si>
  <si>
    <t>Mr. Vikash Kumar</t>
  </si>
  <si>
    <t>Mr. Podamekala Kishore</t>
  </si>
  <si>
    <t>Ms. Ilapuram Pravallika</t>
  </si>
  <si>
    <t>Ms. Velpuri Govinda Priya</t>
  </si>
  <si>
    <t>Ms. Kuppa Srilakshmi</t>
  </si>
  <si>
    <t>Mr. D. Nabin Kumar</t>
  </si>
  <si>
    <t>Ms. B. Sri Satya Rajani</t>
  </si>
  <si>
    <t>Mr. Vangala Nagavardhan Reddy</t>
  </si>
  <si>
    <t>Mr. M. Rohit Jayachandra</t>
  </si>
  <si>
    <t>Ms. Vemuri Lakshmi Ravali</t>
  </si>
  <si>
    <t>Ms. Siramsetti Triveni</t>
  </si>
  <si>
    <t>Mr. Vadla Mahesh</t>
  </si>
  <si>
    <t>Ms. Vissamraju Vijaya Lakshmi</t>
  </si>
  <si>
    <t>Ms. Ramayanam Prasamsa</t>
  </si>
  <si>
    <t>Ms. Yuvarani S</t>
  </si>
  <si>
    <t>Ms. Poranki Jayasri</t>
  </si>
  <si>
    <t>MR. DEVARAKONDA PAVAN KALYAN</t>
  </si>
  <si>
    <t>MR. ADAVI ADITYA VENKATESWARA KUMAR</t>
  </si>
  <si>
    <t xml:space="preserve">MR. KUDUPUDI RAJ KIRAN </t>
  </si>
  <si>
    <t>Ms. Landa Yasasri</t>
  </si>
  <si>
    <t>Mr. Meda Rosaiah</t>
  </si>
  <si>
    <t>Ol&amp; ODl Manager</t>
  </si>
  <si>
    <t>Mr. konduru naga sai teja</t>
  </si>
  <si>
    <t>Ms. Yelchuri Sesha Naga Bindu Lalitha Sri</t>
  </si>
  <si>
    <t>MS. G. SIVA NAGA MALLESWARI</t>
  </si>
  <si>
    <t>MS. TANAYA SARKER</t>
  </si>
  <si>
    <t>MR. PENUGONDA PARTHASARDHI</t>
  </si>
  <si>
    <t>Ms. Arif Jahan Pattan</t>
  </si>
  <si>
    <t xml:space="preserve">MS. ATTULURI RAMYA </t>
  </si>
  <si>
    <t>Dr B. Jyostna Devi</t>
  </si>
  <si>
    <t>Ms. Namana Jayadeepika</t>
  </si>
  <si>
    <t>Ms. Tongming Yongsam</t>
  </si>
  <si>
    <t>Ms. Sai Pushpitha  CH</t>
  </si>
  <si>
    <t>Ms. Pulivarthi V S N Lakshmi</t>
  </si>
  <si>
    <t>Ms. B.V. Manjari Blessing</t>
  </si>
  <si>
    <t>K. Sangeetha Rao</t>
  </si>
  <si>
    <t>Ms. Kimuduboina Aruna Kumari</t>
  </si>
  <si>
    <t>DR. G. YALAMANDA BABU</t>
  </si>
  <si>
    <t>MR. AKULA GOPI</t>
  </si>
  <si>
    <t>Ms. Nidhi V Gummadi</t>
  </si>
  <si>
    <t>MA. P. DEEPTHI SOWMYA</t>
  </si>
  <si>
    <t>Ms. Vakada sravani</t>
  </si>
  <si>
    <t>Ms. Talam Poojitha</t>
  </si>
  <si>
    <t>Mr. Vemula Rahul</t>
  </si>
  <si>
    <t>Ms. Maddula Charitha</t>
  </si>
  <si>
    <t>Ms. BonDALAPATI Navya sri</t>
  </si>
  <si>
    <t>Mr. Pothana Venkata Vamsi</t>
  </si>
  <si>
    <t xml:space="preserve">Mr. Pabbisetti D.S.V. Karthikeya </t>
  </si>
  <si>
    <t>Ms. kancheti Jyoshnavi</t>
  </si>
  <si>
    <t>Ms. vennapusa siva  harshitha</t>
  </si>
  <si>
    <t>Mr. Seelam Venkata Srinivas Reddy</t>
  </si>
  <si>
    <t>ms. SK. Thahasina</t>
  </si>
  <si>
    <t>mr. Rayavarapu Chakradhar Sarma</t>
  </si>
  <si>
    <t>Ms. Jayanthi Karra</t>
  </si>
  <si>
    <t>Mr. N.S.N.Murthy</t>
  </si>
  <si>
    <t>Finance Officer</t>
  </si>
  <si>
    <t>Mr. Nimmagadda Rama Rao</t>
  </si>
  <si>
    <t>SECURITY AND INTELLIGENCE OFFICE</t>
  </si>
  <si>
    <t xml:space="preserve">Mr. MUMMANENI PARDHA SARADHI </t>
  </si>
  <si>
    <t>SR. TRANSPORT I/C</t>
  </si>
  <si>
    <t>Mr. KUNAMNENI RAMA MOHAN</t>
  </si>
  <si>
    <t>ESTATE MANAGER</t>
  </si>
  <si>
    <t>mr. punna ajay kumar</t>
  </si>
  <si>
    <t>Mr. Murikipudi HEmanth Subhakar</t>
  </si>
  <si>
    <t>Ms. Mathi Bhuvaneswari</t>
  </si>
  <si>
    <t>Ms. Velivela Naga Sruthi</t>
  </si>
  <si>
    <t>Kannekanti Pavan Venkata Siva Ganesh Chari</t>
  </si>
  <si>
    <t>Mr. shaik ehthe shamul hasan</t>
  </si>
  <si>
    <t>Mr. Gudibandi Phani Sekhar Reddy</t>
  </si>
  <si>
    <t>Ms. Gudipati Yagna</t>
  </si>
  <si>
    <t>Ms. Chandolu Lakshmi Manogna</t>
  </si>
  <si>
    <t>MS. KOLLI BHAVYA SRI</t>
  </si>
  <si>
    <t>MR. LOGANATHAN M</t>
  </si>
  <si>
    <t>mr.anuvalasetty naga harshith vardhan</t>
  </si>
  <si>
    <t>MR. GUDIPATI RISHI KESAVA</t>
  </si>
  <si>
    <t>MS. MUHAMMAD GULSHAN FIRDOUS</t>
  </si>
  <si>
    <t>Mr. Avinash Narisetty</t>
  </si>
  <si>
    <t>MS. VUTUKURI GEETHA NAGALAKSHMI</t>
  </si>
  <si>
    <t>MS. MARELLA SIRISHA</t>
  </si>
  <si>
    <t>Ms. Chakravaram Sravani</t>
  </si>
  <si>
    <t>Ms.annapareddy kavya sree</t>
  </si>
  <si>
    <t>ms. parimi sahithi</t>
  </si>
  <si>
    <t>MRS. THUPAKULA NAGA LAKSHMI</t>
  </si>
  <si>
    <t>MR. MOLABANTI PRAMOD CHANDRA</t>
  </si>
  <si>
    <t>MS. KOLLI SABHAMINI</t>
  </si>
  <si>
    <t>MS. SHAIK CHARISHMA</t>
  </si>
  <si>
    <t>MRS. BOKKISAM BHAVANA SREEJA</t>
  </si>
  <si>
    <t>MS. GUDAPATI VENKATA RUKMINI</t>
  </si>
  <si>
    <t>MR.SHAIK THAYAB</t>
  </si>
  <si>
    <t>MS.AALA VENKATA KAVERI</t>
  </si>
  <si>
    <t>MS.SHAIK SUFIYA</t>
  </si>
  <si>
    <t>MS.KOMERA HIMANI</t>
  </si>
  <si>
    <t>MS.PUDOTA  AMALA</t>
  </si>
  <si>
    <t>MS.PUVVLA ADI MAHALAKSHMINAGASIVAKUMARI</t>
  </si>
  <si>
    <t>MS.MULPURI KOTI SURYA SAMA PRABHA</t>
  </si>
  <si>
    <t>MS.SHAIK KARISHMA</t>
  </si>
  <si>
    <t>MR.ARUDRA VENKATA RAO</t>
  </si>
  <si>
    <t>MR.PAGADALA GOPI KRISHNA</t>
  </si>
  <si>
    <t>MR.AKKURATHI HRUDAY RAJ</t>
  </si>
  <si>
    <t xml:space="preserve">MR.MATURI ASHOK GUPTA </t>
  </si>
  <si>
    <t>mS. SHAIK. NUSRATH JAHAN</t>
  </si>
  <si>
    <t>MS.PINNAMANENI SIRISHA</t>
  </si>
  <si>
    <t>MR. VSNS YASWANTH KOMMURI</t>
  </si>
  <si>
    <t>MRS. PUVVADA VENKATA NAGA SAI LIKHITHA</t>
  </si>
  <si>
    <t>MR. AREPATI KISHOR KUMAR</t>
  </si>
  <si>
    <t>MS.ALLA DEEPTHI</t>
  </si>
  <si>
    <t>MS.MUSALAMADUGU VYSHNAVI</t>
  </si>
  <si>
    <t>MR. VULCHI SASANK SAI</t>
  </si>
  <si>
    <t>MRS. TIRUMALASETTY RAMA ARSHITHA</t>
  </si>
  <si>
    <t>MS. BATTULA HIMABINDU</t>
  </si>
  <si>
    <t>MS.JAMPANI DIVYA SREE</t>
  </si>
  <si>
    <t>MRS. SIMHADRI POORNIMA.</t>
  </si>
  <si>
    <t>MS.THATHA MEGHANA</t>
  </si>
  <si>
    <t>MRS. NAKKA DHANALAKSHMI</t>
  </si>
  <si>
    <t xml:space="preserve">MR.SHAIK SHAMSHEER BASHA </t>
  </si>
  <si>
    <t>MR.SAYYAD THAJUDDIN BABA</t>
  </si>
  <si>
    <t>ARUMALLA NANDINI</t>
  </si>
  <si>
    <t>MR.SANGEESA UDAY KIRAN</t>
  </si>
  <si>
    <t>MAREPALLI HARYA VARDHAN</t>
  </si>
  <si>
    <t xml:space="preserve"> MS. NEMALIKANTI DEENA</t>
  </si>
  <si>
    <t>MR. PENTAPATI V V SATYA SURYA TEJA SRI MANOJ</t>
  </si>
  <si>
    <t>MS.SANAGAPALLI CHARISHMA</t>
  </si>
  <si>
    <t>MR.KODALI SAI PRAVEEN</t>
  </si>
  <si>
    <t>MS.SATULURI VENKATA BHAVANI</t>
  </si>
  <si>
    <t>MS.TAVVA DIVYA SRI VASAVI KUMARI</t>
  </si>
  <si>
    <t>MS.MATHANGI HAVEELA</t>
  </si>
  <si>
    <t>MS.MOHAMMAD SUHANA KOUSAR</t>
  </si>
  <si>
    <t>MS.KOMMURI RAMYA</t>
  </si>
  <si>
    <t>MS.SHAIK HEENA KOUSAR</t>
  </si>
  <si>
    <t>MR. TIRUMALA SOMA VENKATA SESI KUMAR</t>
  </si>
  <si>
    <t>MR.RANDHI AVINASH</t>
  </si>
  <si>
    <t>MR. PARAB VIRAJ PRAMOD</t>
  </si>
  <si>
    <t>MR. SHAIK JAVED ALI</t>
  </si>
  <si>
    <t>MR.KODE VENKATESH</t>
  </si>
  <si>
    <t>MS.VOLETI SAHITHYA LAKSHMI</t>
  </si>
  <si>
    <t>MR.KAZA VARUN SAI</t>
  </si>
  <si>
    <t>MR. DALAVAI SRI MANJU NADH</t>
  </si>
  <si>
    <t>MS. PEETHALA GIRIJA</t>
  </si>
  <si>
    <t>MR. MATLAPUDI FRANCIS XAVIER</t>
  </si>
  <si>
    <t>MS. NUNE NAGA SUREKHA</t>
  </si>
  <si>
    <t>MS. YAJALI NEHA</t>
  </si>
  <si>
    <t>MS. YENUGULA RAMYA SRI</t>
  </si>
  <si>
    <t>MS. KANKANAMPATI NIKHITHA</t>
  </si>
  <si>
    <t>MS. KOTA LAKSHMI LIKHITHA</t>
  </si>
  <si>
    <t>MS. PARASA JASMITHA</t>
  </si>
  <si>
    <t>MR. YETCHERLA ASHOK</t>
  </si>
  <si>
    <t>MR. KOLAKALURI KARTHIK</t>
  </si>
  <si>
    <t xml:space="preserve">MR. MUNDURI SIVA SURYA SATYA MAHENDRA VARMA </t>
  </si>
  <si>
    <t>MS. N POOJA</t>
  </si>
  <si>
    <t>MS. SRAVANTHI KORATALA</t>
  </si>
  <si>
    <t>MS. ALLURI MOUNIKA</t>
  </si>
  <si>
    <t>MS. SHAIK SAMEERASULTANA</t>
  </si>
  <si>
    <t>MS. MANDA SRI CHAKRAPANI</t>
  </si>
  <si>
    <t>MR. VANKAYALAPATI AMARNATH</t>
  </si>
  <si>
    <t>MR. SATENDRA</t>
  </si>
  <si>
    <t>MS. KAMINENI BABY TEJASWI</t>
  </si>
  <si>
    <t>MS. GUTHIKONDA AKHILA</t>
  </si>
  <si>
    <t>MS. CHIMATA OMKAR LAKSHMI</t>
  </si>
  <si>
    <t>MS. KAMINENI LEELA TAPASWI</t>
  </si>
  <si>
    <t>MS. JUVVA DIVYA</t>
  </si>
  <si>
    <t>MS. DONEPUDI SUPRIYA</t>
  </si>
  <si>
    <t>MS. MAVURI YAMINI</t>
  </si>
  <si>
    <t>MR. KOSANA RAJASEKHAR</t>
  </si>
  <si>
    <t>MR. BAIG AKBAR</t>
  </si>
  <si>
    <t>MR.UMESH KUMAR JANGIR</t>
  </si>
  <si>
    <t>MR.ADNAN AHMAD KHAN</t>
  </si>
  <si>
    <t>MR.KOLISETTY JAGADEESHWAR</t>
  </si>
  <si>
    <t>mr.penugonda parthasaradhi</t>
  </si>
  <si>
    <t>Mr. Yalagapati Surya Prakash</t>
  </si>
  <si>
    <t>MR.KANDI PRANAV REEDY</t>
  </si>
  <si>
    <t>MR.SUNKARA DEVENDRA KUMAR</t>
  </si>
  <si>
    <t>MS.KESANA RAJA RAJESWARI</t>
  </si>
  <si>
    <t>MR.MITIKALA RAMANJANEYULU</t>
  </si>
  <si>
    <t>MR.ALLAMUDI KALYAN BABU</t>
  </si>
  <si>
    <t>MR.INAMPUDI MANOJ KUMAR</t>
  </si>
  <si>
    <t>MS.THATAVARTHI KAVYA SRI</t>
  </si>
  <si>
    <t>MR.PANTHANGI GOPI KRISHNA</t>
  </si>
  <si>
    <t>MS.KONERU VAISHNAVI</t>
  </si>
  <si>
    <t>MS.GOAPAVARAPU BHARGAVI</t>
  </si>
  <si>
    <t>MS.KOMARRAJU HARIPRIYA</t>
  </si>
  <si>
    <t>MR.SRIRAMOJU NAVEEN KUMAR</t>
  </si>
  <si>
    <t>MR.NAYAKI HANUMAN TEJA</t>
  </si>
  <si>
    <t>MS.GORANTLA PREETHI</t>
  </si>
  <si>
    <t>MS.BALDE SRI VANI</t>
  </si>
  <si>
    <t>MS. SRIPATHI SAI MADHURI</t>
  </si>
  <si>
    <t>Mr. Yarramsetti Chandra Sekhar</t>
  </si>
  <si>
    <t>Ms. Abdul Farmin Jaha</t>
  </si>
  <si>
    <t>MS.SETHULEKSHMI J.R.</t>
  </si>
  <si>
    <t>MS.JUJJUVARAPU NAGENDRA</t>
  </si>
  <si>
    <t xml:space="preserve">MS.PAPABATHINI LAKSHMI </t>
  </si>
  <si>
    <t>MR.GARAMPALLI HARISH</t>
  </si>
  <si>
    <t>MR.TALLAM VISHNU SWAROOP</t>
  </si>
  <si>
    <t>MS.KUCHIPUDI ANUSHA</t>
  </si>
  <si>
    <t>MR.PATAN IMRAN KHAN</t>
  </si>
  <si>
    <t>MR.MANDALAPU VISHNU VARDHAN KUMAR</t>
  </si>
  <si>
    <t>MRS.BHAVANARI SATYA GNYANA SRI</t>
  </si>
  <si>
    <t>MS.RAAVI NAGA SUMITHRA CHOWDARY</t>
  </si>
  <si>
    <t>MS.PARADAPARAPU MOKSHAGNA</t>
  </si>
  <si>
    <t xml:space="preserve">MS.BURLA SANGEETHA </t>
  </si>
  <si>
    <t>MS.MOPARTHY DEV SAMPATH KUMAR</t>
  </si>
  <si>
    <t>MS.SUGGUNA RAMYA SRI</t>
  </si>
  <si>
    <t>MS.YECHU HARSHITHA</t>
  </si>
  <si>
    <t>MS.YANNAM NAGA VYSHNAVI</t>
  </si>
  <si>
    <t>MS.BODDU ANSHU</t>
  </si>
  <si>
    <t>MR.JAGARLAMUDI DURGA PRASAD</t>
  </si>
  <si>
    <t>MS.BASIREDDY HIMAJA</t>
  </si>
  <si>
    <t>PITTI KESAVA KRISHNA REDDY</t>
  </si>
  <si>
    <t>MR.DEVARAYI ASHOK</t>
  </si>
  <si>
    <t>MR.NUNE CHITTI BABU</t>
  </si>
  <si>
    <t>MS.KOLLIPARA BALA VENKATA NAGA SUSMITHA</t>
  </si>
  <si>
    <t>MS.KURAPATI SUPRAJA</t>
  </si>
  <si>
    <t xml:space="preserve"> MS.GOSI SNEHA</t>
  </si>
  <si>
    <t>MR. MANGLARAPU GANESH</t>
  </si>
  <si>
    <t>MR. ABDUL KARIM SHAIK</t>
  </si>
  <si>
    <t>MS. KODURU JHANSI SUVARCHALA</t>
  </si>
  <si>
    <t>MR. INDUPALLI ROHITH</t>
  </si>
  <si>
    <t>morla venkateswara rao</t>
  </si>
  <si>
    <t>VEJANDLA RAJ KUMAR</t>
  </si>
  <si>
    <t xml:space="preserve">Ms. Deepthika Gutta </t>
  </si>
  <si>
    <t>MR.MAJETI VARAPRASADA JAGANNADHA NARENDRA</t>
  </si>
  <si>
    <t>MS.CHIMALA DEVISIRICHANDANA</t>
  </si>
  <si>
    <t>SHAIK.NAZEEM</t>
  </si>
  <si>
    <t xml:space="preserve"> MS.TADIBOYINA SRAVANI</t>
  </si>
  <si>
    <t>MS.GURRAM LAAHIRI</t>
  </si>
  <si>
    <t>MR.DODDI DANADEEP</t>
  </si>
  <si>
    <t>MS.YAMPATI LAVANYA</t>
  </si>
  <si>
    <t>MS.ADIGOPPULA LAKSHMI NIHARIKA</t>
  </si>
  <si>
    <t>MR. VAKA RAVITEJA</t>
  </si>
  <si>
    <t>MS. PENUMUDI HARSHITHA</t>
  </si>
  <si>
    <t>MS. GANJAM NAGA SAI SATYA SAHITHI</t>
  </si>
  <si>
    <t>MS.MYLAVARAPU VENKATA NAGA LAKSHMI SOWMYA</t>
  </si>
  <si>
    <t>MS.MANTHRI PRANITHA</t>
  </si>
  <si>
    <t>MR.MUMMAREDDY VENKATA SAI KRISHNA</t>
  </si>
  <si>
    <t xml:space="preserve"> MRS.GAJULAVARTHI PRAGNA</t>
  </si>
  <si>
    <t xml:space="preserve"> MR.DASARI VENKATA NAGA PRANEETH</t>
  </si>
  <si>
    <t>MS.LAKAVATH SRIVANI</t>
  </si>
  <si>
    <t>MS.DANABOINA ASHARANI</t>
  </si>
  <si>
    <t xml:space="preserve">MS.RACHABATHUNI RUCHITHA </t>
  </si>
  <si>
    <t>Mr. K. Rajesh</t>
  </si>
  <si>
    <t>MS.MOHAMMAD ANJUM ZOHRA</t>
  </si>
  <si>
    <t>MS.AYULURU RAMA DEVI</t>
  </si>
  <si>
    <t>MR. PILLI SWAROOP KUMAR</t>
  </si>
  <si>
    <t>MR. GUMMADI RAVI</t>
  </si>
  <si>
    <t>MS. BANNARAVURI SANDHYA</t>
  </si>
  <si>
    <t>MR.MADUGULA VIVEK GOUD</t>
  </si>
  <si>
    <t>MS.GUNTI VANDANA</t>
  </si>
  <si>
    <t>MR. BADUGU CHAITHANYA</t>
  </si>
  <si>
    <t>MR. MOPARTHY DHIRENDRA</t>
  </si>
  <si>
    <t>MS. MEDIDA RAJA KUMARI</t>
  </si>
  <si>
    <t>mr. komarabathini abhishek samuel</t>
  </si>
  <si>
    <t>MS. MALLAM ANJALI</t>
  </si>
  <si>
    <t>MR. DASARI SANDEEP</t>
  </si>
  <si>
    <t>MS. REGALAGADDA CHAITHANYA</t>
  </si>
  <si>
    <t>MR. KONDAVETI PHANINDRA</t>
  </si>
  <si>
    <t>ms. battina bhanu priya</t>
  </si>
  <si>
    <t>MR.NITYANAND UPADHYAY</t>
  </si>
  <si>
    <t>DR. P. VIDYA</t>
  </si>
  <si>
    <t>Ms. Tupakula Krishna Priya</t>
  </si>
  <si>
    <t>Oruganti Padmaja</t>
  </si>
  <si>
    <t>MR. MANURI BHANU PRAKASH</t>
  </si>
  <si>
    <t>MS.GODUGU NANDINI</t>
  </si>
  <si>
    <t>DR. KEERTHIKA K. S.</t>
  </si>
  <si>
    <t>Ms. Yarlagadda AnnapooRNA</t>
  </si>
  <si>
    <t>MR. PENDEM RUDRA KRISHNA</t>
  </si>
  <si>
    <t>MR. RAMISETTI SRI RAMA SAI VENKATESH</t>
  </si>
  <si>
    <t>MR. KOTHA RAJA DINESH</t>
  </si>
  <si>
    <t>MS. NANDAM LAKSHMI ANUJA</t>
  </si>
  <si>
    <t>MS. GARRE DEVI PRATYUSHA</t>
  </si>
  <si>
    <t>MS. K. JAHNAVI</t>
  </si>
  <si>
    <t>Mr. Madireddy Ramanjaneya Reddy</t>
  </si>
  <si>
    <t>MR. BORRU VENKAT</t>
  </si>
  <si>
    <t>MS. DAMARLA GAGANA  DEEPIKA</t>
  </si>
  <si>
    <t>MR. GUDIVADA KRISHNA PRAKASH</t>
  </si>
  <si>
    <t>MS. BATHINENI SUJITHA</t>
  </si>
  <si>
    <t>MS. BATTULA NAVYA</t>
  </si>
  <si>
    <t>MS. VEEDULA RISHITHA</t>
  </si>
  <si>
    <t>DR. Ch. Hymavathi</t>
  </si>
  <si>
    <t>Dr. S. Asha</t>
  </si>
  <si>
    <t>Dr. Shaik Himam Saheb</t>
  </si>
  <si>
    <t>Mr. MD Atiqur Rahman</t>
  </si>
  <si>
    <t>Dr. Borigorla Venu</t>
  </si>
  <si>
    <t>Dr. Ameena Begum</t>
  </si>
  <si>
    <t>MR. LANKA NAGA SATISH</t>
  </si>
  <si>
    <t>MS. BODIGE PURNIMA</t>
  </si>
  <si>
    <t>MS. MERUGU RAMA</t>
  </si>
  <si>
    <t>Dr. Sameeul Haq Nazki</t>
  </si>
  <si>
    <t>Dr. V. Vimal Raj</t>
  </si>
  <si>
    <t>MR. PANTHANGI NAGARAJU</t>
  </si>
  <si>
    <t>Dr. ramesh babu Kunchala</t>
  </si>
  <si>
    <t>Dr. Pawan Kumar Chauhan</t>
  </si>
  <si>
    <t>Dr. Ranadip Gangopadhyay</t>
  </si>
  <si>
    <t xml:space="preserve">Dr. Kiran Sagar Unikela </t>
  </si>
  <si>
    <t>MR. PASTHAM SREENU</t>
  </si>
  <si>
    <t>SPORTS COACH</t>
  </si>
  <si>
    <t xml:space="preserve">MS. DOOSARI KALPANA </t>
  </si>
  <si>
    <t>MS. KUTIKELA GAYATHRI</t>
  </si>
  <si>
    <t>MR. SEENAIAH NIMMANAGOTI</t>
  </si>
  <si>
    <t>MS. KALLURI SOWMYA LAXMI</t>
  </si>
  <si>
    <t>MS. CHINTA BHARGAVI</t>
  </si>
  <si>
    <t>MS. KORRA PUSHPAVATHI</t>
  </si>
  <si>
    <t>MR. GUMMADELI SAI KIRAN</t>
  </si>
  <si>
    <t>DR. BANOTHU CHAMPLA</t>
  </si>
  <si>
    <t>MS. MD. BADRU SHAYIDHA</t>
  </si>
  <si>
    <t>dr. gokula nanda chhatria</t>
  </si>
  <si>
    <t>MR. KAKARLA VENKATESH</t>
  </si>
  <si>
    <t>MS. ALETI SWATHI REDDY</t>
  </si>
  <si>
    <t>MR. JHOGU SRINATH</t>
  </si>
  <si>
    <t>Mr. Venkatesham Maragoni</t>
  </si>
  <si>
    <t>MR. BODIGE VINEETH KUMAR GOUD</t>
  </si>
  <si>
    <t>MR. UBBANI SRIKANTH</t>
  </si>
  <si>
    <t>MR. KOTHA KAMALAKAR</t>
  </si>
  <si>
    <t>Assistant Media Manager</t>
  </si>
  <si>
    <t>Dr. Aniruddha Naik</t>
  </si>
  <si>
    <t>Dr. Karunakar Tanneeru</t>
  </si>
  <si>
    <t>Dr. Baddam Anil Kumar</t>
  </si>
  <si>
    <t>Mr. Sama Ranjeeth</t>
  </si>
  <si>
    <t>Ms. Ashewathi Thamban</t>
  </si>
  <si>
    <t>rayamalla ankaiah</t>
  </si>
  <si>
    <t>sakinala swetha</t>
  </si>
  <si>
    <t>gangapuram nikhil kumar goud</t>
  </si>
  <si>
    <t>MR.LANKALAPALLI LEELA TRINADH</t>
  </si>
  <si>
    <t>Dr Vinod Kumar</t>
  </si>
  <si>
    <t>MRS. VOLETI MAMATHA</t>
  </si>
  <si>
    <t>MR. GOPISETTI SRINIVAS</t>
  </si>
  <si>
    <t>MR.RAMAVATH SHIVA NAIK</t>
  </si>
  <si>
    <t>NANDIGAMA MANOJ KUMAR</t>
  </si>
  <si>
    <t>Dr. Ankamma Rao Mallela</t>
  </si>
  <si>
    <t>MR. MAKTHALA SAMPATH</t>
  </si>
  <si>
    <t>A.C. TECHNICIAN</t>
  </si>
  <si>
    <t>Electrical Main</t>
  </si>
  <si>
    <t>MR. MOHAMMAD ANKUSHAVALI</t>
  </si>
  <si>
    <t>Mr. Chanchala Sudheer</t>
  </si>
  <si>
    <t>Dr. Repalle Panduranga Rao</t>
  </si>
  <si>
    <t>Dr. Madhuri Gummineni</t>
  </si>
  <si>
    <t>Mr. Vennu Indivaruteja</t>
  </si>
  <si>
    <t>Mr. Talari Ashok</t>
  </si>
  <si>
    <t>mr. muni siva prasad</t>
  </si>
  <si>
    <t>MR. U. BHARADWAJA</t>
  </si>
  <si>
    <t>Dr. K. Kashinath</t>
  </si>
  <si>
    <t>DR. SAI SIVA S</t>
  </si>
  <si>
    <t>Mr. S.V.S. Avinash</t>
  </si>
  <si>
    <t>MS. VADLADI ASWINI</t>
  </si>
  <si>
    <t>MS. SIVAPURAPU SRAVANTHI</t>
  </si>
  <si>
    <t>MR. KOUDE DHANA SAILU</t>
  </si>
  <si>
    <t>MS. KUNAM ANUSHA</t>
  </si>
  <si>
    <t>MR. GODASS PRABHAKAR</t>
  </si>
  <si>
    <t>DR. HARI SEKHAR MITTA</t>
  </si>
  <si>
    <t>DR. REBEELLI SHASHANK</t>
  </si>
  <si>
    <t>MR. MIRYALA NARENDRA</t>
  </si>
  <si>
    <t>Dr. M. VENKATA SIVA SUDHAKAR</t>
  </si>
  <si>
    <t>Mr. ANGIDI VEERABABU</t>
  </si>
  <si>
    <t>DR. GERIKI POLAIAH</t>
  </si>
  <si>
    <t>DR. YANAGALA VENKATA SESHAGIRIRAO</t>
  </si>
  <si>
    <t>Ms. G. ANUSHA</t>
  </si>
  <si>
    <t>MR. G. CHAITANYA REDDY</t>
  </si>
  <si>
    <t>DR. KOTLA RAHUL WILSON</t>
  </si>
  <si>
    <t>MR. VIJAY KUMAR DHARAVATH</t>
  </si>
  <si>
    <t>Ms. JALIGAM THARANGINI</t>
  </si>
  <si>
    <t>Mr. GINNARAPU SUMESH</t>
  </si>
  <si>
    <t>Mr. K. NAGENDRA BABU</t>
  </si>
  <si>
    <t>Mr. PANDU CHERIPALLI</t>
  </si>
  <si>
    <t>DR. SANDHYA BOLLA</t>
  </si>
  <si>
    <t>DR. SHANKAR CHERUKU</t>
  </si>
  <si>
    <t>Ms. GUNDOJU SWATHI</t>
  </si>
  <si>
    <t>DR. PATHAKOTA ROJA</t>
  </si>
  <si>
    <t>Mr. KARNATAKAPU VENKATESH</t>
  </si>
  <si>
    <t>MS. CHINAMANAGONDLA. PRASANTHI</t>
  </si>
  <si>
    <t>MR. K. VEERAIAH</t>
  </si>
  <si>
    <t>MR. V. SUNDARA SIVA KUMAR</t>
  </si>
  <si>
    <t>MRS. GUNDOJU DEEPIKA</t>
  </si>
  <si>
    <t>Mr. VANGAPANDU MAHESH BABU</t>
  </si>
  <si>
    <t>Ms. N. SREE LAKSHMI</t>
  </si>
  <si>
    <t>Mr. MAHESH ETTAGONI</t>
  </si>
  <si>
    <t>Mr. ALAKUNTLA SHIVA</t>
  </si>
  <si>
    <t>Mr. MOTE SRINADH</t>
  </si>
  <si>
    <t>MS. MUNTHA DIVYA YADAV</t>
  </si>
  <si>
    <t>MR. D. VISHNUCHARY</t>
  </si>
  <si>
    <t>MS. GANJI SWETHA SREE</t>
  </si>
  <si>
    <t>MR. MD SHAHIM YAWAR ALI ANSARI</t>
  </si>
  <si>
    <t>Ms. Mallipudi Beulah</t>
  </si>
  <si>
    <t>MS. KOPPULA DENNIS</t>
  </si>
  <si>
    <t>MS. CHINTA SRI JYOTHI</t>
  </si>
  <si>
    <t>MRS. MUDDAM JANAKI RANI</t>
  </si>
  <si>
    <t>MR. MADDU JAGADEESH</t>
  </si>
  <si>
    <t>MR. KUSUPATI NAGA KOUSHIL REDDY</t>
  </si>
  <si>
    <t>DR. KSHETRIMAYUM RENUBEBETA DEVI</t>
  </si>
  <si>
    <t>MR. ORUGANTI VAMSHI KRISHNA</t>
  </si>
  <si>
    <t>MS.B.SWATHI</t>
  </si>
  <si>
    <t>MS.GUNDLAPALLI VEDA PRIYA</t>
  </si>
  <si>
    <t>MR.MD SHAKIR HUSSAIN</t>
  </si>
  <si>
    <t>MR.SAHIL HUSSAIN</t>
  </si>
  <si>
    <t>MS. SAIMA FIRDOUSH</t>
  </si>
  <si>
    <t>MS. KARIMALA RANI</t>
  </si>
  <si>
    <t>MS. DESHOJU PRASANNA</t>
  </si>
  <si>
    <t>DR. SATYANARAYANAREDDY MARRI</t>
  </si>
  <si>
    <t>MR.GOPISETTI NAGARAJU</t>
  </si>
  <si>
    <t>MRS. YERRAGONI HEMALATHA</t>
  </si>
  <si>
    <t>MRS. NANNEPAMULA KALPANA</t>
  </si>
  <si>
    <t>MS. KOYYADA ASHWINI</t>
  </si>
  <si>
    <t>Dr. Vijay Krishna</t>
  </si>
  <si>
    <t xml:space="preserve">MR. K. Suresh </t>
  </si>
  <si>
    <t>DR. M. Indira</t>
  </si>
  <si>
    <t>Dr. D. John Babu</t>
  </si>
  <si>
    <t>Dr. N. Ananda Rao</t>
  </si>
  <si>
    <t>DR. P. Bangaraiah</t>
  </si>
  <si>
    <t>Prathiba Jonnala</t>
  </si>
  <si>
    <t>Dr. G.S.R. Satyanarayana</t>
  </si>
  <si>
    <t>Dr. A. Ranganadha Reddy</t>
  </si>
  <si>
    <t>MR. Sk. Abdul Gani</t>
  </si>
  <si>
    <t>DR. S. Hanumantha Rao</t>
  </si>
  <si>
    <t>Dr.DS. Bhupal Naik</t>
  </si>
  <si>
    <t>Dr. K. Siva Nageswara Rao</t>
  </si>
  <si>
    <t>M.S. Kishan Varma</t>
  </si>
  <si>
    <t>Dr.S. Sudheer</t>
  </si>
  <si>
    <t>DR. D. Sudhir Babu</t>
  </si>
  <si>
    <t>Dr. B. Suvarna</t>
  </si>
  <si>
    <t>Dr. T.C. Venkateswarulu</t>
  </si>
  <si>
    <t>MS. K. Sujatha</t>
  </si>
  <si>
    <t xml:space="preserve">Ms. G. Parimala </t>
  </si>
  <si>
    <t>MR. T. Srinivasa Rao</t>
  </si>
  <si>
    <t>M. Ramu</t>
  </si>
  <si>
    <t>DR. S.Venkatrama Phani Kumar</t>
  </si>
  <si>
    <t>Dr. R. Prathap Kumar</t>
  </si>
  <si>
    <t>DR. A. Venkata Narayana</t>
  </si>
  <si>
    <t>K. Satish</t>
  </si>
  <si>
    <t>Dr. D. Yakobu</t>
  </si>
  <si>
    <t>Dr. P. Krishna Chaitanya</t>
  </si>
  <si>
    <t>DR. V. Venkata Reddy</t>
  </si>
  <si>
    <t>DR. K. Bala Krishna</t>
  </si>
  <si>
    <t>M. Siva Jagadish Kumar</t>
  </si>
  <si>
    <t>Dr.A.R.Vijay Babu</t>
  </si>
  <si>
    <t>DR. K. Rachananjali</t>
  </si>
  <si>
    <t>K. Venkateswarlu</t>
  </si>
  <si>
    <t>MR. M. Ashok</t>
  </si>
  <si>
    <t>Dr. P. Lakshmi Narayanamma</t>
  </si>
  <si>
    <t>MR. A. Bhavani Sankar</t>
  </si>
  <si>
    <t>Govardhana Rao Chilukoti</t>
  </si>
  <si>
    <t>MR. Sk. Mansour</t>
  </si>
  <si>
    <t>DR. T. Pitchaiah</t>
  </si>
  <si>
    <t>MRS. Yamarthi Surekha</t>
  </si>
  <si>
    <t>Dr. M.S.S. Rukmini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</si>
</sst>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61"/>
  <sheetViews>
    <sheetView tabSelected="1" workbookViewId="0">
      <selection sqref="A1:XFD1048576"/>
    </sheetView>
  </sheetViews>
  <sheetFormatPr defaultRowHeight="15" x14ac:dyDescent="0.25"/>
  <cols>
    <col min="1" max="1" width="9.28515625" bestFit="1" customWidth="1"/>
    <col min="2" max="2" width="56.7109375" bestFit="1" customWidth="1"/>
    <col min="3" max="3" width="74.28515625" bestFit="1" customWidth="1"/>
    <col min="4" max="4" width="34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tr">
        <f>"00006"</f>
        <v>00006</v>
      </c>
      <c r="B2" t="s">
        <v>4</v>
      </c>
      <c r="C2" t="s">
        <v>5</v>
      </c>
      <c r="D2" t="s">
        <v>6</v>
      </c>
    </row>
    <row r="3" spans="1:4" x14ac:dyDescent="0.25">
      <c r="A3" t="str">
        <f>"00009"</f>
        <v>00009</v>
      </c>
      <c r="B3" t="s">
        <v>7</v>
      </c>
      <c r="C3" t="s">
        <v>8</v>
      </c>
      <c r="D3" t="s">
        <v>9</v>
      </c>
    </row>
    <row r="4" spans="1:4" x14ac:dyDescent="0.25">
      <c r="A4" t="str">
        <f>"00010"</f>
        <v>00010</v>
      </c>
      <c r="B4" t="s">
        <v>10</v>
      </c>
      <c r="C4" t="s">
        <v>11</v>
      </c>
      <c r="D4" t="s">
        <v>12</v>
      </c>
    </row>
    <row r="5" spans="1:4" x14ac:dyDescent="0.25">
      <c r="A5" t="str">
        <f>"00011"</f>
        <v>00011</v>
      </c>
      <c r="B5" t="s">
        <v>13</v>
      </c>
      <c r="C5" t="s">
        <v>14</v>
      </c>
      <c r="D5" t="s">
        <v>6</v>
      </c>
    </row>
    <row r="6" spans="1:4" x14ac:dyDescent="0.25">
      <c r="A6" t="str">
        <f>"00015"</f>
        <v>00015</v>
      </c>
      <c r="B6" t="s">
        <v>15</v>
      </c>
      <c r="C6" t="s">
        <v>16</v>
      </c>
      <c r="D6" t="s">
        <v>17</v>
      </c>
    </row>
    <row r="7" spans="1:4" x14ac:dyDescent="0.25">
      <c r="A7" t="str">
        <f>"00016"</f>
        <v>00016</v>
      </c>
      <c r="B7" t="s">
        <v>18</v>
      </c>
      <c r="C7" t="s">
        <v>11</v>
      </c>
      <c r="D7" t="s">
        <v>19</v>
      </c>
    </row>
    <row r="8" spans="1:4" x14ac:dyDescent="0.25">
      <c r="A8" t="str">
        <f>"00017"</f>
        <v>00017</v>
      </c>
      <c r="B8" t="s">
        <v>20</v>
      </c>
      <c r="C8" t="s">
        <v>11</v>
      </c>
      <c r="D8" t="s">
        <v>12</v>
      </c>
    </row>
    <row r="9" spans="1:4" x14ac:dyDescent="0.25">
      <c r="A9" t="str">
        <f>"00019"</f>
        <v>00019</v>
      </c>
      <c r="B9" t="s">
        <v>21</v>
      </c>
      <c r="C9" t="s">
        <v>22</v>
      </c>
      <c r="D9" t="s">
        <v>23</v>
      </c>
    </row>
    <row r="10" spans="1:4" x14ac:dyDescent="0.25">
      <c r="A10" t="str">
        <f>"00024"</f>
        <v>00024</v>
      </c>
      <c r="B10" t="s">
        <v>24</v>
      </c>
      <c r="C10" t="s">
        <v>25</v>
      </c>
      <c r="D10" t="s">
        <v>6</v>
      </c>
    </row>
    <row r="11" spans="1:4" x14ac:dyDescent="0.25">
      <c r="A11" t="str">
        <f>"00027"</f>
        <v>00027</v>
      </c>
      <c r="B11" t="s">
        <v>26</v>
      </c>
      <c r="C11" t="s">
        <v>27</v>
      </c>
      <c r="D11" t="s">
        <v>28</v>
      </c>
    </row>
    <row r="12" spans="1:4" x14ac:dyDescent="0.25">
      <c r="A12" t="str">
        <f>"00031"</f>
        <v>00031</v>
      </c>
      <c r="B12" t="s">
        <v>29</v>
      </c>
      <c r="C12" t="s">
        <v>30</v>
      </c>
      <c r="D12" t="s">
        <v>31</v>
      </c>
    </row>
    <row r="13" spans="1:4" x14ac:dyDescent="0.25">
      <c r="A13" t="str">
        <f>"00034"</f>
        <v>00034</v>
      </c>
      <c r="B13" t="s">
        <v>32</v>
      </c>
      <c r="C13" t="s">
        <v>33</v>
      </c>
      <c r="D13" t="s">
        <v>34</v>
      </c>
    </row>
    <row r="14" spans="1:4" x14ac:dyDescent="0.25">
      <c r="A14" t="str">
        <f>"00035"</f>
        <v>00035</v>
      </c>
      <c r="B14" t="s">
        <v>35</v>
      </c>
      <c r="C14" t="s">
        <v>14</v>
      </c>
      <c r="D14" t="s">
        <v>6</v>
      </c>
    </row>
    <row r="15" spans="1:4" x14ac:dyDescent="0.25">
      <c r="A15" t="str">
        <f>"00037"</f>
        <v>00037</v>
      </c>
      <c r="B15" t="s">
        <v>36</v>
      </c>
      <c r="C15" t="s">
        <v>37</v>
      </c>
      <c r="D15" t="s">
        <v>28</v>
      </c>
    </row>
    <row r="16" spans="1:4" x14ac:dyDescent="0.25">
      <c r="A16" t="str">
        <f>"00042"</f>
        <v>00042</v>
      </c>
      <c r="B16" t="s">
        <v>38</v>
      </c>
      <c r="C16" t="s">
        <v>39</v>
      </c>
      <c r="D16" t="s">
        <v>40</v>
      </c>
    </row>
    <row r="17" spans="1:4" x14ac:dyDescent="0.25">
      <c r="A17" t="str">
        <f>"00043"</f>
        <v>00043</v>
      </c>
      <c r="B17" t="s">
        <v>41</v>
      </c>
      <c r="C17" t="s">
        <v>22</v>
      </c>
      <c r="D17" t="s">
        <v>42</v>
      </c>
    </row>
    <row r="18" spans="1:4" x14ac:dyDescent="0.25">
      <c r="A18" t="str">
        <f>"00046"</f>
        <v>00046</v>
      </c>
      <c r="B18" t="s">
        <v>43</v>
      </c>
      <c r="C18" t="s">
        <v>44</v>
      </c>
      <c r="D18" t="s">
        <v>6</v>
      </c>
    </row>
    <row r="19" spans="1:4" x14ac:dyDescent="0.25">
      <c r="A19" t="str">
        <f>"00048"</f>
        <v>00048</v>
      </c>
      <c r="B19" t="s">
        <v>45</v>
      </c>
      <c r="C19" t="s">
        <v>46</v>
      </c>
      <c r="D19" t="s">
        <v>34</v>
      </c>
    </row>
    <row r="20" spans="1:4" x14ac:dyDescent="0.25">
      <c r="A20" t="str">
        <f>"00049"</f>
        <v>00049</v>
      </c>
      <c r="B20" t="s">
        <v>47</v>
      </c>
      <c r="C20" t="s">
        <v>48</v>
      </c>
      <c r="D20" t="s">
        <v>31</v>
      </c>
    </row>
    <row r="21" spans="1:4" x14ac:dyDescent="0.25">
      <c r="A21" t="str">
        <f>"00053"</f>
        <v>00053</v>
      </c>
      <c r="B21" t="s">
        <v>49</v>
      </c>
      <c r="C21" t="s">
        <v>44</v>
      </c>
      <c r="D21" t="s">
        <v>6</v>
      </c>
    </row>
    <row r="22" spans="1:4" x14ac:dyDescent="0.25">
      <c r="A22" t="str">
        <f>"00054"</f>
        <v>00054</v>
      </c>
      <c r="B22" t="s">
        <v>50</v>
      </c>
      <c r="C22" t="s">
        <v>22</v>
      </c>
      <c r="D22" t="s">
        <v>6</v>
      </c>
    </row>
    <row r="23" spans="1:4" x14ac:dyDescent="0.25">
      <c r="A23" t="str">
        <f>"00056"</f>
        <v>00056</v>
      </c>
      <c r="B23" t="s">
        <v>51</v>
      </c>
      <c r="C23" t="s">
        <v>52</v>
      </c>
      <c r="D23" t="s">
        <v>40</v>
      </c>
    </row>
    <row r="24" spans="1:4" x14ac:dyDescent="0.25">
      <c r="A24" t="str">
        <f>"00062"</f>
        <v>00062</v>
      </c>
      <c r="B24" t="s">
        <v>53</v>
      </c>
      <c r="C24" t="s">
        <v>39</v>
      </c>
      <c r="D24" t="s">
        <v>40</v>
      </c>
    </row>
    <row r="25" spans="1:4" x14ac:dyDescent="0.25">
      <c r="A25" t="str">
        <f>"00066"</f>
        <v>00066</v>
      </c>
      <c r="B25" t="s">
        <v>54</v>
      </c>
      <c r="C25" t="s">
        <v>11</v>
      </c>
      <c r="D25" t="s">
        <v>6</v>
      </c>
    </row>
    <row r="26" spans="1:4" x14ac:dyDescent="0.25">
      <c r="A26" t="str">
        <f>"00075"</f>
        <v>00075</v>
      </c>
      <c r="B26" t="s">
        <v>55</v>
      </c>
      <c r="C26" t="s">
        <v>14</v>
      </c>
      <c r="D26" t="s">
        <v>9</v>
      </c>
    </row>
    <row r="27" spans="1:4" x14ac:dyDescent="0.25">
      <c r="A27" t="str">
        <f>"00076"</f>
        <v>00076</v>
      </c>
      <c r="B27" t="s">
        <v>56</v>
      </c>
      <c r="C27" t="s">
        <v>57</v>
      </c>
      <c r="D27" t="s">
        <v>58</v>
      </c>
    </row>
    <row r="28" spans="1:4" x14ac:dyDescent="0.25">
      <c r="A28" t="str">
        <f>"00077"</f>
        <v>00077</v>
      </c>
      <c r="B28" t="s">
        <v>59</v>
      </c>
      <c r="C28" t="s">
        <v>33</v>
      </c>
      <c r="D28" t="s">
        <v>23</v>
      </c>
    </row>
    <row r="29" spans="1:4" x14ac:dyDescent="0.25">
      <c r="A29" t="str">
        <f>"00080"</f>
        <v>00080</v>
      </c>
      <c r="B29" t="s">
        <v>60</v>
      </c>
      <c r="C29" t="s">
        <v>22</v>
      </c>
      <c r="D29" t="s">
        <v>61</v>
      </c>
    </row>
    <row r="30" spans="1:4" x14ac:dyDescent="0.25">
      <c r="A30" t="str">
        <f>"00081"</f>
        <v>00081</v>
      </c>
      <c r="B30" t="s">
        <v>62</v>
      </c>
      <c r="C30" t="s">
        <v>33</v>
      </c>
      <c r="D30" t="s">
        <v>17</v>
      </c>
    </row>
    <row r="31" spans="1:4" x14ac:dyDescent="0.25">
      <c r="A31" t="str">
        <f>"00085"</f>
        <v>00085</v>
      </c>
      <c r="B31" t="s">
        <v>63</v>
      </c>
      <c r="C31" t="s">
        <v>64</v>
      </c>
      <c r="D31" t="s">
        <v>65</v>
      </c>
    </row>
    <row r="32" spans="1:4" x14ac:dyDescent="0.25">
      <c r="A32" t="str">
        <f>"00088"</f>
        <v>00088</v>
      </c>
      <c r="B32" t="s">
        <v>66</v>
      </c>
      <c r="C32" t="s">
        <v>22</v>
      </c>
      <c r="D32" t="s">
        <v>67</v>
      </c>
    </row>
    <row r="33" spans="1:4" x14ac:dyDescent="0.25">
      <c r="A33" t="str">
        <f>"00089"</f>
        <v>00089</v>
      </c>
      <c r="B33" t="s">
        <v>68</v>
      </c>
      <c r="C33" t="s">
        <v>69</v>
      </c>
      <c r="D33" t="s">
        <v>6</v>
      </c>
    </row>
    <row r="34" spans="1:4" x14ac:dyDescent="0.25">
      <c r="A34" t="str">
        <f>"00090"</f>
        <v>00090</v>
      </c>
      <c r="B34" t="s">
        <v>70</v>
      </c>
      <c r="C34" t="s">
        <v>33</v>
      </c>
      <c r="D34" t="s">
        <v>34</v>
      </c>
    </row>
    <row r="35" spans="1:4" x14ac:dyDescent="0.25">
      <c r="A35" t="str">
        <f>"00103"</f>
        <v>00103</v>
      </c>
      <c r="B35" t="s">
        <v>71</v>
      </c>
      <c r="C35" t="s">
        <v>72</v>
      </c>
      <c r="D35" t="s">
        <v>73</v>
      </c>
    </row>
    <row r="36" spans="1:4" x14ac:dyDescent="0.25">
      <c r="A36" t="str">
        <f>"00106"</f>
        <v>00106</v>
      </c>
      <c r="B36" t="s">
        <v>74</v>
      </c>
      <c r="C36" t="s">
        <v>11</v>
      </c>
      <c r="D36" t="s">
        <v>75</v>
      </c>
    </row>
    <row r="37" spans="1:4" x14ac:dyDescent="0.25">
      <c r="A37" t="str">
        <f>"00107"</f>
        <v>00107</v>
      </c>
      <c r="B37" t="s">
        <v>76</v>
      </c>
      <c r="C37" t="s">
        <v>77</v>
      </c>
      <c r="D37" t="s">
        <v>28</v>
      </c>
    </row>
    <row r="38" spans="1:4" x14ac:dyDescent="0.25">
      <c r="A38" t="str">
        <f>"00117"</f>
        <v>00117</v>
      </c>
      <c r="B38" t="s">
        <v>78</v>
      </c>
      <c r="C38" t="s">
        <v>79</v>
      </c>
      <c r="D38" t="s">
        <v>80</v>
      </c>
    </row>
    <row r="39" spans="1:4" x14ac:dyDescent="0.25">
      <c r="A39" t="str">
        <f>"00120"</f>
        <v>00120</v>
      </c>
      <c r="B39" t="s">
        <v>81</v>
      </c>
      <c r="C39" t="s">
        <v>39</v>
      </c>
      <c r="D39" t="s">
        <v>65</v>
      </c>
    </row>
    <row r="40" spans="1:4" x14ac:dyDescent="0.25">
      <c r="A40" t="str">
        <f>"00121"</f>
        <v>00121</v>
      </c>
      <c r="B40" t="s">
        <v>82</v>
      </c>
      <c r="C40" t="s">
        <v>33</v>
      </c>
      <c r="D40" t="s">
        <v>40</v>
      </c>
    </row>
    <row r="41" spans="1:4" x14ac:dyDescent="0.25">
      <c r="A41" t="str">
        <f>"00123"</f>
        <v>00123</v>
      </c>
      <c r="B41" t="s">
        <v>83</v>
      </c>
      <c r="C41" t="s">
        <v>84</v>
      </c>
      <c r="D41" t="s">
        <v>85</v>
      </c>
    </row>
    <row r="42" spans="1:4" x14ac:dyDescent="0.25">
      <c r="A42" t="str">
        <f>"00141"</f>
        <v>00141</v>
      </c>
      <c r="B42" t="s">
        <v>86</v>
      </c>
      <c r="C42" t="s">
        <v>11</v>
      </c>
      <c r="D42" t="s">
        <v>6</v>
      </c>
    </row>
    <row r="43" spans="1:4" x14ac:dyDescent="0.25">
      <c r="A43" t="str">
        <f>"00160"</f>
        <v>00160</v>
      </c>
      <c r="B43" t="s">
        <v>87</v>
      </c>
      <c r="C43" t="s">
        <v>88</v>
      </c>
      <c r="D43" t="s">
        <v>28</v>
      </c>
    </row>
    <row r="44" spans="1:4" x14ac:dyDescent="0.25">
      <c r="A44" t="str">
        <f>"00162"</f>
        <v>00162</v>
      </c>
      <c r="B44" t="s">
        <v>89</v>
      </c>
      <c r="C44" t="s">
        <v>44</v>
      </c>
      <c r="D44" t="s">
        <v>85</v>
      </c>
    </row>
    <row r="45" spans="1:4" x14ac:dyDescent="0.25">
      <c r="A45" t="str">
        <f>"00166"</f>
        <v>00166</v>
      </c>
      <c r="B45" t="s">
        <v>90</v>
      </c>
      <c r="C45" t="s">
        <v>22</v>
      </c>
      <c r="D45" t="s">
        <v>91</v>
      </c>
    </row>
    <row r="46" spans="1:4" x14ac:dyDescent="0.25">
      <c r="A46" t="str">
        <f>"00167"</f>
        <v>00167</v>
      </c>
      <c r="B46" t="s">
        <v>92</v>
      </c>
      <c r="C46" t="s">
        <v>22</v>
      </c>
      <c r="D46" t="s">
        <v>40</v>
      </c>
    </row>
    <row r="47" spans="1:4" x14ac:dyDescent="0.25">
      <c r="A47" t="str">
        <f>"00168"</f>
        <v>00168</v>
      </c>
      <c r="B47" t="s">
        <v>93</v>
      </c>
      <c r="C47" t="s">
        <v>22</v>
      </c>
      <c r="D47" t="s">
        <v>34</v>
      </c>
    </row>
    <row r="48" spans="1:4" x14ac:dyDescent="0.25">
      <c r="A48" t="str">
        <f>"00170"</f>
        <v>00170</v>
      </c>
      <c r="B48" t="s">
        <v>94</v>
      </c>
      <c r="C48" t="s">
        <v>46</v>
      </c>
      <c r="D48" t="s">
        <v>34</v>
      </c>
    </row>
    <row r="49" spans="1:4" x14ac:dyDescent="0.25">
      <c r="A49" t="str">
        <f>"00172"</f>
        <v>00172</v>
      </c>
      <c r="B49" t="s">
        <v>95</v>
      </c>
      <c r="C49" t="s">
        <v>96</v>
      </c>
      <c r="D49" t="s">
        <v>97</v>
      </c>
    </row>
    <row r="50" spans="1:4" x14ac:dyDescent="0.25">
      <c r="A50" t="str">
        <f>"00175"</f>
        <v>00175</v>
      </c>
      <c r="B50" t="s">
        <v>98</v>
      </c>
      <c r="C50" t="s">
        <v>11</v>
      </c>
      <c r="D50" t="s">
        <v>99</v>
      </c>
    </row>
    <row r="51" spans="1:4" x14ac:dyDescent="0.25">
      <c r="A51" t="str">
        <f>"00180"</f>
        <v>00180</v>
      </c>
      <c r="B51" t="s">
        <v>100</v>
      </c>
      <c r="C51" t="s">
        <v>22</v>
      </c>
      <c r="D51" t="s">
        <v>23</v>
      </c>
    </row>
    <row r="52" spans="1:4" x14ac:dyDescent="0.25">
      <c r="A52" t="str">
        <f>"00210"</f>
        <v>00210</v>
      </c>
      <c r="B52" t="s">
        <v>101</v>
      </c>
      <c r="C52" t="s">
        <v>33</v>
      </c>
      <c r="D52" t="s">
        <v>102</v>
      </c>
    </row>
    <row r="53" spans="1:4" x14ac:dyDescent="0.25">
      <c r="A53" t="str">
        <f>"00223"</f>
        <v>00223</v>
      </c>
      <c r="B53" t="s">
        <v>103</v>
      </c>
      <c r="C53" t="s">
        <v>104</v>
      </c>
      <c r="D53" t="s">
        <v>105</v>
      </c>
    </row>
    <row r="54" spans="1:4" x14ac:dyDescent="0.25">
      <c r="A54" t="str">
        <f>"00229"</f>
        <v>00229</v>
      </c>
      <c r="B54" t="s">
        <v>106</v>
      </c>
      <c r="C54" t="s">
        <v>44</v>
      </c>
      <c r="D54" t="s">
        <v>75</v>
      </c>
    </row>
    <row r="55" spans="1:4" x14ac:dyDescent="0.25">
      <c r="A55" t="str">
        <f>"00233"</f>
        <v>00233</v>
      </c>
      <c r="B55" t="s">
        <v>107</v>
      </c>
      <c r="C55" t="s">
        <v>11</v>
      </c>
      <c r="D55" t="s">
        <v>85</v>
      </c>
    </row>
    <row r="56" spans="1:4" x14ac:dyDescent="0.25">
      <c r="A56" t="str">
        <f>"00246"</f>
        <v>00246</v>
      </c>
      <c r="B56" t="s">
        <v>108</v>
      </c>
      <c r="C56" t="s">
        <v>33</v>
      </c>
      <c r="D56" t="s">
        <v>109</v>
      </c>
    </row>
    <row r="57" spans="1:4" x14ac:dyDescent="0.25">
      <c r="A57" t="str">
        <f>"00248"</f>
        <v>00248</v>
      </c>
      <c r="B57" t="s">
        <v>110</v>
      </c>
      <c r="C57" t="s">
        <v>111</v>
      </c>
      <c r="D57" t="s">
        <v>75</v>
      </c>
    </row>
    <row r="58" spans="1:4" x14ac:dyDescent="0.25">
      <c r="A58" t="str">
        <f>"00318"</f>
        <v>00318</v>
      </c>
      <c r="B58" t="s">
        <v>112</v>
      </c>
      <c r="C58" t="s">
        <v>5</v>
      </c>
      <c r="D58" t="s">
        <v>9</v>
      </c>
    </row>
    <row r="59" spans="1:4" x14ac:dyDescent="0.25">
      <c r="A59" t="str">
        <f>"00334"</f>
        <v>00334</v>
      </c>
      <c r="B59" t="s">
        <v>113</v>
      </c>
      <c r="C59" t="s">
        <v>44</v>
      </c>
      <c r="D59" t="s">
        <v>65</v>
      </c>
    </row>
    <row r="60" spans="1:4" x14ac:dyDescent="0.25">
      <c r="A60" t="str">
        <f>"00339"</f>
        <v>00339</v>
      </c>
      <c r="B60" t="s">
        <v>114</v>
      </c>
      <c r="C60" t="s">
        <v>22</v>
      </c>
      <c r="D60" t="s">
        <v>17</v>
      </c>
    </row>
    <row r="61" spans="1:4" x14ac:dyDescent="0.25">
      <c r="A61" t="str">
        <f>"00352"</f>
        <v>00352</v>
      </c>
      <c r="B61" t="s">
        <v>115</v>
      </c>
      <c r="C61" t="s">
        <v>46</v>
      </c>
      <c r="D61" t="s">
        <v>34</v>
      </c>
    </row>
    <row r="62" spans="1:4" x14ac:dyDescent="0.25">
      <c r="A62" t="str">
        <f>"00356"</f>
        <v>00356</v>
      </c>
      <c r="B62" t="s">
        <v>116</v>
      </c>
      <c r="C62" t="s">
        <v>22</v>
      </c>
      <c r="D62" t="s">
        <v>58</v>
      </c>
    </row>
    <row r="63" spans="1:4" x14ac:dyDescent="0.25">
      <c r="A63" t="str">
        <f>"00385"</f>
        <v>00385</v>
      </c>
      <c r="B63" t="s">
        <v>117</v>
      </c>
      <c r="C63" t="s">
        <v>22</v>
      </c>
      <c r="D63" t="s">
        <v>118</v>
      </c>
    </row>
    <row r="64" spans="1:4" x14ac:dyDescent="0.25">
      <c r="A64" t="str">
        <f>"00422"</f>
        <v>00422</v>
      </c>
      <c r="B64" t="s">
        <v>119</v>
      </c>
      <c r="C64" t="s">
        <v>22</v>
      </c>
      <c r="D64" t="s">
        <v>120</v>
      </c>
    </row>
    <row r="65" spans="1:4" x14ac:dyDescent="0.25">
      <c r="A65" t="str">
        <f>"00424"</f>
        <v>00424</v>
      </c>
      <c r="B65" t="s">
        <v>121</v>
      </c>
      <c r="C65" t="s">
        <v>39</v>
      </c>
      <c r="D65" t="s">
        <v>122</v>
      </c>
    </row>
    <row r="66" spans="1:4" x14ac:dyDescent="0.25">
      <c r="A66" t="str">
        <f>"00427"</f>
        <v>00427</v>
      </c>
      <c r="B66" t="s">
        <v>123</v>
      </c>
      <c r="C66" t="s">
        <v>79</v>
      </c>
      <c r="D66" t="s">
        <v>122</v>
      </c>
    </row>
    <row r="67" spans="1:4" x14ac:dyDescent="0.25">
      <c r="A67" t="str">
        <f>"00445"</f>
        <v>00445</v>
      </c>
      <c r="B67" t="s">
        <v>124</v>
      </c>
      <c r="C67" t="s">
        <v>44</v>
      </c>
      <c r="D67" t="s">
        <v>125</v>
      </c>
    </row>
    <row r="68" spans="1:4" x14ac:dyDescent="0.25">
      <c r="A68" t="str">
        <f>"00453"</f>
        <v>00453</v>
      </c>
      <c r="B68" t="s">
        <v>126</v>
      </c>
      <c r="C68" t="s">
        <v>44</v>
      </c>
      <c r="D68" t="s">
        <v>99</v>
      </c>
    </row>
    <row r="69" spans="1:4" x14ac:dyDescent="0.25">
      <c r="A69" t="str">
        <f>"00475"</f>
        <v>00475</v>
      </c>
      <c r="B69" t="s">
        <v>127</v>
      </c>
      <c r="C69" t="s">
        <v>44</v>
      </c>
      <c r="D69" t="s">
        <v>85</v>
      </c>
    </row>
    <row r="70" spans="1:4" x14ac:dyDescent="0.25">
      <c r="A70" t="str">
        <f>"00479"</f>
        <v>00479</v>
      </c>
      <c r="B70" t="s">
        <v>128</v>
      </c>
      <c r="C70" t="s">
        <v>96</v>
      </c>
      <c r="D70" t="s">
        <v>85</v>
      </c>
    </row>
    <row r="71" spans="1:4" x14ac:dyDescent="0.25">
      <c r="A71" t="str">
        <f>"00501"</f>
        <v>00501</v>
      </c>
      <c r="B71" t="s">
        <v>129</v>
      </c>
      <c r="C71" t="s">
        <v>44</v>
      </c>
      <c r="D71" t="s">
        <v>125</v>
      </c>
    </row>
    <row r="72" spans="1:4" x14ac:dyDescent="0.25">
      <c r="A72" t="str">
        <f>"00504"</f>
        <v>00504</v>
      </c>
      <c r="B72" t="s">
        <v>130</v>
      </c>
      <c r="C72" t="s">
        <v>44</v>
      </c>
      <c r="D72" t="s">
        <v>125</v>
      </c>
    </row>
    <row r="73" spans="1:4" x14ac:dyDescent="0.25">
      <c r="A73" t="str">
        <f>"00509"</f>
        <v>00509</v>
      </c>
      <c r="B73" t="s">
        <v>131</v>
      </c>
      <c r="C73" t="s">
        <v>96</v>
      </c>
      <c r="D73" t="s">
        <v>99</v>
      </c>
    </row>
    <row r="74" spans="1:4" x14ac:dyDescent="0.25">
      <c r="A74" t="str">
        <f>"00546"</f>
        <v>00546</v>
      </c>
      <c r="B74" t="s">
        <v>132</v>
      </c>
      <c r="C74" t="s">
        <v>96</v>
      </c>
      <c r="D74" t="s">
        <v>133</v>
      </c>
    </row>
    <row r="75" spans="1:4" x14ac:dyDescent="0.25">
      <c r="A75" t="str">
        <f>"00560"</f>
        <v>00560</v>
      </c>
      <c r="B75" t="s">
        <v>134</v>
      </c>
      <c r="C75" t="s">
        <v>22</v>
      </c>
      <c r="D75" t="s">
        <v>135</v>
      </c>
    </row>
    <row r="76" spans="1:4" x14ac:dyDescent="0.25">
      <c r="A76" t="str">
        <f>"00578"</f>
        <v>00578</v>
      </c>
      <c r="B76" t="s">
        <v>136</v>
      </c>
      <c r="C76" t="s">
        <v>22</v>
      </c>
      <c r="D76" t="s">
        <v>73</v>
      </c>
    </row>
    <row r="77" spans="1:4" x14ac:dyDescent="0.25">
      <c r="A77" t="str">
        <f>"00579"</f>
        <v>00579</v>
      </c>
      <c r="B77" t="s">
        <v>137</v>
      </c>
      <c r="C77" t="s">
        <v>138</v>
      </c>
      <c r="D77" t="s">
        <v>109</v>
      </c>
    </row>
    <row r="78" spans="1:4" x14ac:dyDescent="0.25">
      <c r="A78" t="str">
        <f>"00592"</f>
        <v>00592</v>
      </c>
      <c r="B78" t="s">
        <v>139</v>
      </c>
      <c r="C78" t="s">
        <v>140</v>
      </c>
      <c r="D78" t="s">
        <v>141</v>
      </c>
    </row>
    <row r="79" spans="1:4" x14ac:dyDescent="0.25">
      <c r="A79" t="str">
        <f>"00615"</f>
        <v>00615</v>
      </c>
      <c r="B79" t="s">
        <v>142</v>
      </c>
      <c r="C79" t="s">
        <v>143</v>
      </c>
      <c r="D79" t="s">
        <v>105</v>
      </c>
    </row>
    <row r="80" spans="1:4" x14ac:dyDescent="0.25">
      <c r="A80" t="str">
        <f>"00619"</f>
        <v>00619</v>
      </c>
      <c r="B80" t="s">
        <v>144</v>
      </c>
      <c r="C80" t="s">
        <v>96</v>
      </c>
      <c r="D80" t="s">
        <v>6</v>
      </c>
    </row>
    <row r="81" spans="1:4" x14ac:dyDescent="0.25">
      <c r="A81" t="str">
        <f>"00622"</f>
        <v>00622</v>
      </c>
      <c r="B81" t="s">
        <v>145</v>
      </c>
      <c r="C81" t="s">
        <v>96</v>
      </c>
      <c r="D81" t="s">
        <v>80</v>
      </c>
    </row>
    <row r="82" spans="1:4" x14ac:dyDescent="0.25">
      <c r="A82" t="str">
        <f>"00623"</f>
        <v>00623</v>
      </c>
      <c r="B82" t="s">
        <v>146</v>
      </c>
      <c r="C82" t="s">
        <v>111</v>
      </c>
      <c r="D82" t="s">
        <v>6</v>
      </c>
    </row>
    <row r="83" spans="1:4" x14ac:dyDescent="0.25">
      <c r="A83" t="str">
        <f>"00633"</f>
        <v>00633</v>
      </c>
      <c r="B83" t="s">
        <v>147</v>
      </c>
      <c r="C83" t="s">
        <v>148</v>
      </c>
      <c r="D83" t="s">
        <v>149</v>
      </c>
    </row>
    <row r="84" spans="1:4" x14ac:dyDescent="0.25">
      <c r="A84" t="str">
        <f>"00637"</f>
        <v>00637</v>
      </c>
      <c r="B84" t="s">
        <v>150</v>
      </c>
      <c r="C84" t="s">
        <v>96</v>
      </c>
      <c r="D84" t="s">
        <v>99</v>
      </c>
    </row>
    <row r="85" spans="1:4" x14ac:dyDescent="0.25">
      <c r="A85" t="str">
        <f>"00649"</f>
        <v>00649</v>
      </c>
      <c r="B85" t="s">
        <v>151</v>
      </c>
      <c r="C85" t="s">
        <v>44</v>
      </c>
      <c r="D85" t="s">
        <v>6</v>
      </c>
    </row>
    <row r="86" spans="1:4" x14ac:dyDescent="0.25">
      <c r="A86" t="str">
        <f>"00650"</f>
        <v>00650</v>
      </c>
      <c r="B86" t="s">
        <v>152</v>
      </c>
      <c r="C86" t="s">
        <v>96</v>
      </c>
      <c r="D86" t="s">
        <v>6</v>
      </c>
    </row>
    <row r="87" spans="1:4" x14ac:dyDescent="0.25">
      <c r="A87" t="str">
        <f>"00655"</f>
        <v>00655</v>
      </c>
      <c r="B87" t="s">
        <v>153</v>
      </c>
      <c r="C87" t="s">
        <v>33</v>
      </c>
      <c r="D87" t="s">
        <v>122</v>
      </c>
    </row>
    <row r="88" spans="1:4" x14ac:dyDescent="0.25">
      <c r="A88" t="str">
        <f>"00664"</f>
        <v>00664</v>
      </c>
      <c r="B88" t="s">
        <v>154</v>
      </c>
      <c r="C88" t="s">
        <v>155</v>
      </c>
      <c r="D88" t="s">
        <v>156</v>
      </c>
    </row>
    <row r="89" spans="1:4" x14ac:dyDescent="0.25">
      <c r="A89" t="str">
        <f>"00685"</f>
        <v>00685</v>
      </c>
      <c r="B89" t="s">
        <v>157</v>
      </c>
      <c r="C89" t="s">
        <v>64</v>
      </c>
      <c r="D89" t="s">
        <v>34</v>
      </c>
    </row>
    <row r="90" spans="1:4" x14ac:dyDescent="0.25">
      <c r="A90" t="str">
        <f>"00688"</f>
        <v>00688</v>
      </c>
      <c r="B90" t="s">
        <v>158</v>
      </c>
      <c r="C90" t="s">
        <v>159</v>
      </c>
      <c r="D90" t="s">
        <v>31</v>
      </c>
    </row>
    <row r="91" spans="1:4" x14ac:dyDescent="0.25">
      <c r="A91" t="str">
        <f>"00693"</f>
        <v>00693</v>
      </c>
      <c r="B91" t="s">
        <v>160</v>
      </c>
      <c r="C91" t="s">
        <v>44</v>
      </c>
      <c r="D91" t="s">
        <v>12</v>
      </c>
    </row>
    <row r="92" spans="1:4" x14ac:dyDescent="0.25">
      <c r="A92" t="str">
        <f>"00705"</f>
        <v>00705</v>
      </c>
      <c r="B92" t="s">
        <v>161</v>
      </c>
      <c r="C92" t="s">
        <v>96</v>
      </c>
      <c r="D92" t="s">
        <v>12</v>
      </c>
    </row>
    <row r="93" spans="1:4" x14ac:dyDescent="0.25">
      <c r="A93" t="str">
        <f>"00707"</f>
        <v>00707</v>
      </c>
      <c r="B93" t="s">
        <v>162</v>
      </c>
      <c r="C93" t="s">
        <v>96</v>
      </c>
      <c r="D93" t="s">
        <v>75</v>
      </c>
    </row>
    <row r="94" spans="1:4" x14ac:dyDescent="0.25">
      <c r="A94" t="str">
        <f>"00712"</f>
        <v>00712</v>
      </c>
      <c r="B94" t="s">
        <v>163</v>
      </c>
      <c r="C94" t="s">
        <v>111</v>
      </c>
      <c r="D94" t="s">
        <v>12</v>
      </c>
    </row>
    <row r="95" spans="1:4" x14ac:dyDescent="0.25">
      <c r="A95" t="str">
        <f>"00718"</f>
        <v>00718</v>
      </c>
      <c r="B95" t="s">
        <v>164</v>
      </c>
      <c r="C95" t="s">
        <v>96</v>
      </c>
      <c r="D95" t="s">
        <v>75</v>
      </c>
    </row>
    <row r="96" spans="1:4" x14ac:dyDescent="0.25">
      <c r="A96" t="str">
        <f>"00720"</f>
        <v>00720</v>
      </c>
      <c r="B96" t="s">
        <v>165</v>
      </c>
      <c r="C96" t="s">
        <v>57</v>
      </c>
      <c r="D96" t="s">
        <v>58</v>
      </c>
    </row>
    <row r="97" spans="1:4" x14ac:dyDescent="0.25">
      <c r="A97" t="str">
        <f>"00742"</f>
        <v>00742</v>
      </c>
      <c r="B97" t="s">
        <v>166</v>
      </c>
      <c r="C97" t="s">
        <v>96</v>
      </c>
      <c r="D97" t="s">
        <v>125</v>
      </c>
    </row>
    <row r="98" spans="1:4" x14ac:dyDescent="0.25">
      <c r="A98" t="str">
        <f>"00743"</f>
        <v>00743</v>
      </c>
      <c r="B98" t="s">
        <v>167</v>
      </c>
      <c r="C98" t="s">
        <v>96</v>
      </c>
      <c r="D98" t="s">
        <v>125</v>
      </c>
    </row>
    <row r="99" spans="1:4" x14ac:dyDescent="0.25">
      <c r="A99" t="str">
        <f>"00747"</f>
        <v>00747</v>
      </c>
      <c r="B99" t="s">
        <v>168</v>
      </c>
      <c r="C99" t="s">
        <v>22</v>
      </c>
      <c r="D99" t="s">
        <v>23</v>
      </c>
    </row>
    <row r="100" spans="1:4" x14ac:dyDescent="0.25">
      <c r="A100" t="str">
        <f>"00750"</f>
        <v>00750</v>
      </c>
      <c r="B100" t="s">
        <v>169</v>
      </c>
      <c r="C100" t="s">
        <v>33</v>
      </c>
      <c r="D100" t="s">
        <v>73</v>
      </c>
    </row>
    <row r="101" spans="1:4" x14ac:dyDescent="0.25">
      <c r="A101" t="str">
        <f>"00760"</f>
        <v>00760</v>
      </c>
      <c r="B101" t="s">
        <v>170</v>
      </c>
      <c r="C101" t="s">
        <v>171</v>
      </c>
      <c r="D101" t="s">
        <v>73</v>
      </c>
    </row>
    <row r="102" spans="1:4" x14ac:dyDescent="0.25">
      <c r="A102" t="str">
        <f>"00772"</f>
        <v>00772</v>
      </c>
      <c r="B102" t="s">
        <v>172</v>
      </c>
      <c r="C102" t="s">
        <v>22</v>
      </c>
      <c r="D102" t="s">
        <v>28</v>
      </c>
    </row>
    <row r="103" spans="1:4" x14ac:dyDescent="0.25">
      <c r="A103" t="str">
        <f>"00774"</f>
        <v>00774</v>
      </c>
      <c r="B103" t="s">
        <v>173</v>
      </c>
      <c r="C103" t="s">
        <v>22</v>
      </c>
      <c r="D103" t="s">
        <v>34</v>
      </c>
    </row>
    <row r="104" spans="1:4" x14ac:dyDescent="0.25">
      <c r="A104" t="str">
        <f>"00791"</f>
        <v>00791</v>
      </c>
      <c r="B104" t="s">
        <v>174</v>
      </c>
      <c r="C104" t="s">
        <v>175</v>
      </c>
      <c r="D104" t="s">
        <v>176</v>
      </c>
    </row>
    <row r="105" spans="1:4" x14ac:dyDescent="0.25">
      <c r="A105" t="str">
        <f>"00819"</f>
        <v>00819</v>
      </c>
      <c r="B105" t="s">
        <v>177</v>
      </c>
      <c r="C105" t="s">
        <v>96</v>
      </c>
      <c r="D105" t="s">
        <v>6</v>
      </c>
    </row>
    <row r="106" spans="1:4" x14ac:dyDescent="0.25">
      <c r="A106" t="str">
        <f>"00829"</f>
        <v>00829</v>
      </c>
      <c r="B106" t="s">
        <v>178</v>
      </c>
      <c r="C106" t="s">
        <v>96</v>
      </c>
      <c r="D106" t="s">
        <v>6</v>
      </c>
    </row>
    <row r="107" spans="1:4" x14ac:dyDescent="0.25">
      <c r="A107" t="str">
        <f>"00839"</f>
        <v>00839</v>
      </c>
      <c r="B107" t="s">
        <v>179</v>
      </c>
      <c r="C107" t="s">
        <v>48</v>
      </c>
      <c r="D107" t="s">
        <v>31</v>
      </c>
    </row>
    <row r="108" spans="1:4" x14ac:dyDescent="0.25">
      <c r="A108" t="str">
        <f>"00846"</f>
        <v>00846</v>
      </c>
      <c r="B108" t="s">
        <v>180</v>
      </c>
      <c r="C108" t="s">
        <v>181</v>
      </c>
      <c r="D108" t="s">
        <v>156</v>
      </c>
    </row>
    <row r="109" spans="1:4" x14ac:dyDescent="0.25">
      <c r="A109" t="str">
        <f>"00855"</f>
        <v>00855</v>
      </c>
      <c r="B109" t="s">
        <v>182</v>
      </c>
      <c r="C109" t="s">
        <v>22</v>
      </c>
      <c r="D109" t="s">
        <v>99</v>
      </c>
    </row>
    <row r="110" spans="1:4" x14ac:dyDescent="0.25">
      <c r="A110" t="str">
        <f>"00860"</f>
        <v>00860</v>
      </c>
      <c r="B110" t="s">
        <v>183</v>
      </c>
      <c r="C110" t="s">
        <v>22</v>
      </c>
      <c r="D110" t="s">
        <v>73</v>
      </c>
    </row>
    <row r="111" spans="1:4" x14ac:dyDescent="0.25">
      <c r="A111" t="str">
        <f>"00861"</f>
        <v>00861</v>
      </c>
      <c r="B111" t="s">
        <v>21</v>
      </c>
      <c r="C111" t="s">
        <v>22</v>
      </c>
      <c r="D111" t="s">
        <v>122</v>
      </c>
    </row>
    <row r="112" spans="1:4" x14ac:dyDescent="0.25">
      <c r="A112" t="str">
        <f>"00862"</f>
        <v>00862</v>
      </c>
      <c r="B112" t="s">
        <v>184</v>
      </c>
      <c r="C112" t="s">
        <v>33</v>
      </c>
      <c r="D112" t="s">
        <v>17</v>
      </c>
    </row>
    <row r="113" spans="1:4" x14ac:dyDescent="0.25">
      <c r="A113" t="str">
        <f>"00864"</f>
        <v>00864</v>
      </c>
      <c r="B113" t="s">
        <v>185</v>
      </c>
      <c r="C113" t="s">
        <v>22</v>
      </c>
      <c r="D113" t="s">
        <v>28</v>
      </c>
    </row>
    <row r="114" spans="1:4" x14ac:dyDescent="0.25">
      <c r="A114" t="str">
        <f>"00865"</f>
        <v>00865</v>
      </c>
      <c r="B114" t="s">
        <v>186</v>
      </c>
      <c r="C114" t="s">
        <v>22</v>
      </c>
      <c r="D114" t="s">
        <v>118</v>
      </c>
    </row>
    <row r="115" spans="1:4" x14ac:dyDescent="0.25">
      <c r="A115" t="str">
        <f>"00867"</f>
        <v>00867</v>
      </c>
      <c r="B115" t="s">
        <v>187</v>
      </c>
      <c r="C115" t="s">
        <v>39</v>
      </c>
      <c r="D115" t="s">
        <v>133</v>
      </c>
    </row>
    <row r="116" spans="1:4" x14ac:dyDescent="0.25">
      <c r="A116" t="str">
        <f>"00870"</f>
        <v>00870</v>
      </c>
      <c r="B116" t="s">
        <v>188</v>
      </c>
      <c r="C116" t="s">
        <v>22</v>
      </c>
      <c r="D116" t="s">
        <v>189</v>
      </c>
    </row>
    <row r="117" spans="1:4" x14ac:dyDescent="0.25">
      <c r="A117" t="str">
        <f>"00871"</f>
        <v>00871</v>
      </c>
      <c r="B117" t="s">
        <v>190</v>
      </c>
      <c r="C117" t="s">
        <v>79</v>
      </c>
      <c r="D117" t="s">
        <v>75</v>
      </c>
    </row>
    <row r="118" spans="1:4" x14ac:dyDescent="0.25">
      <c r="A118" t="str">
        <f>"00872"</f>
        <v>00872</v>
      </c>
      <c r="B118" t="s">
        <v>191</v>
      </c>
      <c r="C118" t="s">
        <v>33</v>
      </c>
      <c r="D118" t="s">
        <v>118</v>
      </c>
    </row>
    <row r="119" spans="1:4" x14ac:dyDescent="0.25">
      <c r="A119" t="str">
        <f>"00873"</f>
        <v>00873</v>
      </c>
      <c r="B119" t="s">
        <v>192</v>
      </c>
      <c r="C119" t="s">
        <v>193</v>
      </c>
      <c r="D119" t="s">
        <v>17</v>
      </c>
    </row>
    <row r="120" spans="1:4" x14ac:dyDescent="0.25">
      <c r="A120" t="str">
        <f>"00874"</f>
        <v>00874</v>
      </c>
      <c r="B120" t="s">
        <v>194</v>
      </c>
      <c r="C120" t="s">
        <v>22</v>
      </c>
      <c r="D120" t="s">
        <v>80</v>
      </c>
    </row>
    <row r="121" spans="1:4" x14ac:dyDescent="0.25">
      <c r="A121" t="str">
        <f>"00875"</f>
        <v>00875</v>
      </c>
      <c r="B121" t="s">
        <v>195</v>
      </c>
      <c r="C121" t="s">
        <v>22</v>
      </c>
      <c r="D121" t="s">
        <v>23</v>
      </c>
    </row>
    <row r="122" spans="1:4" x14ac:dyDescent="0.25">
      <c r="A122" t="str">
        <f>"00885"</f>
        <v>00885</v>
      </c>
      <c r="B122" t="s">
        <v>196</v>
      </c>
      <c r="C122" t="s">
        <v>197</v>
      </c>
      <c r="D122" t="s">
        <v>133</v>
      </c>
    </row>
    <row r="123" spans="1:4" x14ac:dyDescent="0.25">
      <c r="A123" t="str">
        <f>"00900"</f>
        <v>00900</v>
      </c>
      <c r="B123" t="s">
        <v>198</v>
      </c>
      <c r="C123" t="s">
        <v>199</v>
      </c>
      <c r="D123" t="s">
        <v>34</v>
      </c>
    </row>
    <row r="124" spans="1:4" x14ac:dyDescent="0.25">
      <c r="A124" t="str">
        <f>"00908"</f>
        <v>00908</v>
      </c>
      <c r="B124" t="s">
        <v>200</v>
      </c>
      <c r="C124" t="s">
        <v>11</v>
      </c>
      <c r="D124" t="s">
        <v>80</v>
      </c>
    </row>
    <row r="125" spans="1:4" x14ac:dyDescent="0.25">
      <c r="A125" t="str">
        <f>"00914"</f>
        <v>00914</v>
      </c>
      <c r="B125" t="s">
        <v>201</v>
      </c>
      <c r="C125" t="s">
        <v>202</v>
      </c>
      <c r="D125" t="s">
        <v>85</v>
      </c>
    </row>
    <row r="126" spans="1:4" x14ac:dyDescent="0.25">
      <c r="A126" t="str">
        <f>"00916"</f>
        <v>00916</v>
      </c>
      <c r="B126" t="s">
        <v>203</v>
      </c>
      <c r="C126" t="s">
        <v>111</v>
      </c>
      <c r="D126" t="s">
        <v>85</v>
      </c>
    </row>
    <row r="127" spans="1:4" x14ac:dyDescent="0.25">
      <c r="A127" t="str">
        <f>"00917"</f>
        <v>00917</v>
      </c>
      <c r="B127" t="s">
        <v>204</v>
      </c>
      <c r="C127" t="s">
        <v>96</v>
      </c>
      <c r="D127" t="s">
        <v>6</v>
      </c>
    </row>
    <row r="128" spans="1:4" x14ac:dyDescent="0.25">
      <c r="A128" t="str">
        <f>"00973"</f>
        <v>00973</v>
      </c>
      <c r="B128" t="s">
        <v>205</v>
      </c>
      <c r="C128" t="s">
        <v>44</v>
      </c>
      <c r="D128" t="s">
        <v>125</v>
      </c>
    </row>
    <row r="129" spans="1:4" x14ac:dyDescent="0.25">
      <c r="A129" t="str">
        <f>"00979"</f>
        <v>00979</v>
      </c>
      <c r="B129" t="s">
        <v>206</v>
      </c>
      <c r="C129" t="s">
        <v>33</v>
      </c>
      <c r="D129" t="s">
        <v>34</v>
      </c>
    </row>
    <row r="130" spans="1:4" x14ac:dyDescent="0.25">
      <c r="A130" t="str">
        <f>"00987"</f>
        <v>00987</v>
      </c>
      <c r="B130" t="s">
        <v>207</v>
      </c>
      <c r="C130" t="s">
        <v>202</v>
      </c>
      <c r="D130" t="s">
        <v>122</v>
      </c>
    </row>
    <row r="131" spans="1:4" x14ac:dyDescent="0.25">
      <c r="A131" t="str">
        <f>"00992"</f>
        <v>00992</v>
      </c>
      <c r="B131" t="s">
        <v>208</v>
      </c>
      <c r="C131" t="s">
        <v>84</v>
      </c>
      <c r="D131" t="s">
        <v>122</v>
      </c>
    </row>
    <row r="132" spans="1:4" x14ac:dyDescent="0.25">
      <c r="A132" t="str">
        <f>"00995"</f>
        <v>00995</v>
      </c>
      <c r="B132" t="s">
        <v>209</v>
      </c>
      <c r="C132" t="s">
        <v>96</v>
      </c>
      <c r="D132" t="s">
        <v>6</v>
      </c>
    </row>
    <row r="133" spans="1:4" x14ac:dyDescent="0.25">
      <c r="A133" t="str">
        <f>"00998"</f>
        <v>00998</v>
      </c>
      <c r="B133" t="s">
        <v>210</v>
      </c>
      <c r="C133" t="s">
        <v>96</v>
      </c>
      <c r="D133" t="s">
        <v>6</v>
      </c>
    </row>
    <row r="134" spans="1:4" x14ac:dyDescent="0.25">
      <c r="A134" t="str">
        <f>"01013"</f>
        <v>01013</v>
      </c>
      <c r="B134" t="s">
        <v>211</v>
      </c>
      <c r="C134" t="s">
        <v>84</v>
      </c>
      <c r="D134" t="s">
        <v>6</v>
      </c>
    </row>
    <row r="135" spans="1:4" x14ac:dyDescent="0.25">
      <c r="A135" t="str">
        <f>"01091"</f>
        <v>01091</v>
      </c>
      <c r="B135" t="s">
        <v>212</v>
      </c>
      <c r="C135" t="s">
        <v>96</v>
      </c>
      <c r="D135" t="s">
        <v>133</v>
      </c>
    </row>
    <row r="136" spans="1:4" x14ac:dyDescent="0.25">
      <c r="A136" t="str">
        <f>"01097"</f>
        <v>01097</v>
      </c>
      <c r="B136" t="s">
        <v>213</v>
      </c>
      <c r="C136" t="s">
        <v>96</v>
      </c>
      <c r="D136" t="s">
        <v>67</v>
      </c>
    </row>
    <row r="137" spans="1:4" x14ac:dyDescent="0.25">
      <c r="A137" t="str">
        <f>"01106"</f>
        <v>01106</v>
      </c>
      <c r="B137" t="s">
        <v>214</v>
      </c>
      <c r="C137" t="s">
        <v>44</v>
      </c>
      <c r="D137" t="s">
        <v>122</v>
      </c>
    </row>
    <row r="138" spans="1:4" x14ac:dyDescent="0.25">
      <c r="A138" t="str">
        <f>"01129"</f>
        <v>01129</v>
      </c>
      <c r="B138" t="s">
        <v>215</v>
      </c>
      <c r="C138" t="s">
        <v>84</v>
      </c>
      <c r="D138" t="s">
        <v>40</v>
      </c>
    </row>
    <row r="139" spans="1:4" x14ac:dyDescent="0.25">
      <c r="A139" t="str">
        <f>"01137"</f>
        <v>01137</v>
      </c>
      <c r="B139" t="s">
        <v>216</v>
      </c>
      <c r="C139" t="s">
        <v>22</v>
      </c>
      <c r="D139" t="s">
        <v>118</v>
      </c>
    </row>
    <row r="140" spans="1:4" x14ac:dyDescent="0.25">
      <c r="A140" t="str">
        <f>"01142"</f>
        <v>01142</v>
      </c>
      <c r="B140" t="s">
        <v>217</v>
      </c>
      <c r="C140" t="s">
        <v>218</v>
      </c>
      <c r="D140" t="s">
        <v>189</v>
      </c>
    </row>
    <row r="141" spans="1:4" x14ac:dyDescent="0.25">
      <c r="A141" t="str">
        <f>"01146"</f>
        <v>01146</v>
      </c>
      <c r="B141" t="s">
        <v>219</v>
      </c>
      <c r="C141" t="s">
        <v>220</v>
      </c>
      <c r="D141" t="s">
        <v>109</v>
      </c>
    </row>
    <row r="142" spans="1:4" x14ac:dyDescent="0.25">
      <c r="A142" t="str">
        <f>"01151"</f>
        <v>01151</v>
      </c>
      <c r="B142" t="s">
        <v>221</v>
      </c>
      <c r="C142" t="s">
        <v>79</v>
      </c>
      <c r="D142" t="s">
        <v>75</v>
      </c>
    </row>
    <row r="143" spans="1:4" x14ac:dyDescent="0.25">
      <c r="A143" t="str">
        <f>"01153"</f>
        <v>01153</v>
      </c>
      <c r="B143" t="s">
        <v>222</v>
      </c>
      <c r="C143" t="s">
        <v>223</v>
      </c>
      <c r="D143" t="s">
        <v>109</v>
      </c>
    </row>
    <row r="144" spans="1:4" x14ac:dyDescent="0.25">
      <c r="A144" t="str">
        <f>"01177"</f>
        <v>01177</v>
      </c>
      <c r="B144" t="s">
        <v>86</v>
      </c>
      <c r="C144" t="s">
        <v>96</v>
      </c>
      <c r="D144" t="s">
        <v>12</v>
      </c>
    </row>
    <row r="145" spans="1:4" x14ac:dyDescent="0.25">
      <c r="A145" t="str">
        <f>"01179"</f>
        <v>01179</v>
      </c>
      <c r="B145" t="s">
        <v>224</v>
      </c>
      <c r="C145" t="s">
        <v>22</v>
      </c>
      <c r="D145" t="s">
        <v>19</v>
      </c>
    </row>
    <row r="146" spans="1:4" x14ac:dyDescent="0.25">
      <c r="A146" t="str">
        <f>"01180"</f>
        <v>01180</v>
      </c>
      <c r="B146" t="s">
        <v>225</v>
      </c>
      <c r="C146" t="s">
        <v>22</v>
      </c>
      <c r="D146" t="s">
        <v>65</v>
      </c>
    </row>
    <row r="147" spans="1:4" x14ac:dyDescent="0.25">
      <c r="A147" t="str">
        <f>"01181"</f>
        <v>01181</v>
      </c>
      <c r="B147" t="s">
        <v>226</v>
      </c>
      <c r="C147" t="s">
        <v>96</v>
      </c>
      <c r="D147" t="s">
        <v>149</v>
      </c>
    </row>
    <row r="148" spans="1:4" x14ac:dyDescent="0.25">
      <c r="A148" t="str">
        <f>"01185"</f>
        <v>01185</v>
      </c>
      <c r="B148" t="s">
        <v>227</v>
      </c>
      <c r="C148" t="s">
        <v>96</v>
      </c>
      <c r="D148" t="s">
        <v>67</v>
      </c>
    </row>
    <row r="149" spans="1:4" x14ac:dyDescent="0.25">
      <c r="A149" t="str">
        <f>"01200"</f>
        <v>01200</v>
      </c>
      <c r="B149" t="s">
        <v>228</v>
      </c>
      <c r="C149" t="s">
        <v>33</v>
      </c>
      <c r="D149" t="s">
        <v>6</v>
      </c>
    </row>
    <row r="150" spans="1:4" x14ac:dyDescent="0.25">
      <c r="A150" t="str">
        <f>"01201"</f>
        <v>01201</v>
      </c>
      <c r="B150" t="s">
        <v>229</v>
      </c>
      <c r="C150" t="s">
        <v>96</v>
      </c>
      <c r="D150" t="s">
        <v>73</v>
      </c>
    </row>
    <row r="151" spans="1:4" x14ac:dyDescent="0.25">
      <c r="A151" t="str">
        <f>"01203"</f>
        <v>01203</v>
      </c>
      <c r="B151" t="s">
        <v>230</v>
      </c>
      <c r="C151" t="s">
        <v>96</v>
      </c>
      <c r="D151" t="s">
        <v>97</v>
      </c>
    </row>
    <row r="152" spans="1:4" x14ac:dyDescent="0.25">
      <c r="A152" t="str">
        <f>"01205"</f>
        <v>01205</v>
      </c>
      <c r="B152" t="s">
        <v>231</v>
      </c>
      <c r="C152" t="s">
        <v>44</v>
      </c>
      <c r="D152" t="s">
        <v>80</v>
      </c>
    </row>
    <row r="153" spans="1:4" x14ac:dyDescent="0.25">
      <c r="A153" t="str">
        <f>"01209"</f>
        <v>01209</v>
      </c>
      <c r="B153" t="s">
        <v>232</v>
      </c>
      <c r="C153" t="s">
        <v>64</v>
      </c>
      <c r="D153" t="s">
        <v>6</v>
      </c>
    </row>
    <row r="154" spans="1:4" x14ac:dyDescent="0.25">
      <c r="A154" t="str">
        <f>"01210"</f>
        <v>01210</v>
      </c>
      <c r="B154" t="s">
        <v>233</v>
      </c>
      <c r="C154" t="s">
        <v>11</v>
      </c>
      <c r="D154" t="s">
        <v>65</v>
      </c>
    </row>
    <row r="155" spans="1:4" x14ac:dyDescent="0.25">
      <c r="A155" t="str">
        <f>"01222"</f>
        <v>01222</v>
      </c>
      <c r="B155" t="s">
        <v>234</v>
      </c>
      <c r="C155" t="s">
        <v>96</v>
      </c>
      <c r="D155" t="s">
        <v>125</v>
      </c>
    </row>
    <row r="156" spans="1:4" x14ac:dyDescent="0.25">
      <c r="A156" t="str">
        <f>"01231"</f>
        <v>01231</v>
      </c>
      <c r="B156" t="s">
        <v>235</v>
      </c>
      <c r="C156" t="s">
        <v>79</v>
      </c>
      <c r="D156" t="s">
        <v>67</v>
      </c>
    </row>
    <row r="157" spans="1:4" x14ac:dyDescent="0.25">
      <c r="A157" t="str">
        <f>"01234"</f>
        <v>01234</v>
      </c>
      <c r="B157" t="s">
        <v>236</v>
      </c>
      <c r="C157" t="s">
        <v>44</v>
      </c>
      <c r="D157" t="s">
        <v>12</v>
      </c>
    </row>
    <row r="158" spans="1:4" x14ac:dyDescent="0.25">
      <c r="A158" t="str">
        <f>"01238"</f>
        <v>01238</v>
      </c>
      <c r="B158" t="s">
        <v>237</v>
      </c>
      <c r="C158" t="s">
        <v>96</v>
      </c>
      <c r="D158" t="s">
        <v>73</v>
      </c>
    </row>
    <row r="159" spans="1:4" x14ac:dyDescent="0.25">
      <c r="A159" t="str">
        <f>"01243"</f>
        <v>01243</v>
      </c>
      <c r="B159" t="s">
        <v>238</v>
      </c>
      <c r="C159" t="s">
        <v>96</v>
      </c>
      <c r="D159" t="s">
        <v>149</v>
      </c>
    </row>
    <row r="160" spans="1:4" x14ac:dyDescent="0.25">
      <c r="A160" t="str">
        <f>"01244"</f>
        <v>01244</v>
      </c>
      <c r="B160" t="s">
        <v>239</v>
      </c>
      <c r="C160" t="s">
        <v>44</v>
      </c>
      <c r="D160" t="s">
        <v>6</v>
      </c>
    </row>
    <row r="161" spans="1:4" x14ac:dyDescent="0.25">
      <c r="A161" t="str">
        <f>"01251"</f>
        <v>01251</v>
      </c>
      <c r="B161" t="s">
        <v>240</v>
      </c>
      <c r="C161" t="s">
        <v>84</v>
      </c>
      <c r="D161" t="s">
        <v>149</v>
      </c>
    </row>
    <row r="162" spans="1:4" x14ac:dyDescent="0.25">
      <c r="A162" t="str">
        <f>"01310"</f>
        <v>01310</v>
      </c>
      <c r="B162" t="s">
        <v>241</v>
      </c>
      <c r="C162" t="s">
        <v>44</v>
      </c>
      <c r="D162" t="s">
        <v>122</v>
      </c>
    </row>
    <row r="163" spans="1:4" x14ac:dyDescent="0.25">
      <c r="A163" t="str">
        <f>"01311"</f>
        <v>01311</v>
      </c>
      <c r="B163" t="s">
        <v>242</v>
      </c>
      <c r="C163" t="s">
        <v>243</v>
      </c>
      <c r="D163" t="s">
        <v>102</v>
      </c>
    </row>
    <row r="164" spans="1:4" x14ac:dyDescent="0.25">
      <c r="A164" t="str">
        <f>"01318"</f>
        <v>01318</v>
      </c>
      <c r="B164" t="s">
        <v>244</v>
      </c>
      <c r="C164" t="s">
        <v>245</v>
      </c>
      <c r="D164" t="s">
        <v>61</v>
      </c>
    </row>
    <row r="165" spans="1:4" x14ac:dyDescent="0.25">
      <c r="A165" t="str">
        <f>"01319"</f>
        <v>01319</v>
      </c>
      <c r="B165" t="s">
        <v>246</v>
      </c>
      <c r="C165" t="s">
        <v>44</v>
      </c>
      <c r="D165" t="s">
        <v>125</v>
      </c>
    </row>
    <row r="166" spans="1:4" x14ac:dyDescent="0.25">
      <c r="A166" t="str">
        <f>"01321"</f>
        <v>01321</v>
      </c>
      <c r="B166" t="s">
        <v>247</v>
      </c>
      <c r="C166" t="s">
        <v>248</v>
      </c>
      <c r="D166" t="s">
        <v>133</v>
      </c>
    </row>
    <row r="167" spans="1:4" x14ac:dyDescent="0.25">
      <c r="A167" t="str">
        <f>"01332"</f>
        <v>01332</v>
      </c>
      <c r="B167" t="s">
        <v>249</v>
      </c>
      <c r="C167" t="s">
        <v>96</v>
      </c>
      <c r="D167" t="s">
        <v>133</v>
      </c>
    </row>
    <row r="168" spans="1:4" x14ac:dyDescent="0.25">
      <c r="A168" t="str">
        <f>"01333"</f>
        <v>01333</v>
      </c>
      <c r="B168" t="s">
        <v>250</v>
      </c>
      <c r="C168" t="s">
        <v>44</v>
      </c>
      <c r="D168" t="s">
        <v>85</v>
      </c>
    </row>
    <row r="169" spans="1:4" x14ac:dyDescent="0.25">
      <c r="A169" t="str">
        <f>"01350"</f>
        <v>01350</v>
      </c>
      <c r="B169" t="s">
        <v>251</v>
      </c>
      <c r="C169" t="s">
        <v>96</v>
      </c>
      <c r="D169" t="s">
        <v>73</v>
      </c>
    </row>
    <row r="170" spans="1:4" x14ac:dyDescent="0.25">
      <c r="A170" t="str">
        <f>"01358"</f>
        <v>01358</v>
      </c>
      <c r="B170" t="s">
        <v>252</v>
      </c>
      <c r="C170" t="s">
        <v>11</v>
      </c>
      <c r="D170" t="s">
        <v>75</v>
      </c>
    </row>
    <row r="171" spans="1:4" x14ac:dyDescent="0.25">
      <c r="A171" t="str">
        <f>"01381"</f>
        <v>01381</v>
      </c>
      <c r="B171" t="s">
        <v>253</v>
      </c>
      <c r="C171" t="s">
        <v>96</v>
      </c>
      <c r="D171" t="s">
        <v>133</v>
      </c>
    </row>
    <row r="172" spans="1:4" x14ac:dyDescent="0.25">
      <c r="A172" t="str">
        <f>"01395"</f>
        <v>01395</v>
      </c>
      <c r="B172" t="s">
        <v>254</v>
      </c>
      <c r="C172" t="s">
        <v>33</v>
      </c>
      <c r="D172" t="s">
        <v>17</v>
      </c>
    </row>
    <row r="173" spans="1:4" x14ac:dyDescent="0.25">
      <c r="A173" t="str">
        <f>"01400"</f>
        <v>01400</v>
      </c>
      <c r="B173" t="s">
        <v>255</v>
      </c>
      <c r="C173" t="s">
        <v>44</v>
      </c>
      <c r="D173" t="s">
        <v>122</v>
      </c>
    </row>
    <row r="174" spans="1:4" x14ac:dyDescent="0.25">
      <c r="A174" t="str">
        <f>"01401"</f>
        <v>01401</v>
      </c>
      <c r="B174" t="s">
        <v>256</v>
      </c>
      <c r="C174" t="s">
        <v>202</v>
      </c>
      <c r="D174" t="s">
        <v>85</v>
      </c>
    </row>
    <row r="175" spans="1:4" x14ac:dyDescent="0.25">
      <c r="A175" t="str">
        <f>"01402"</f>
        <v>01402</v>
      </c>
      <c r="B175" t="s">
        <v>257</v>
      </c>
      <c r="C175" t="s">
        <v>258</v>
      </c>
      <c r="D175" t="s">
        <v>75</v>
      </c>
    </row>
    <row r="176" spans="1:4" x14ac:dyDescent="0.25">
      <c r="A176" t="str">
        <f>"01408"</f>
        <v>01408</v>
      </c>
      <c r="B176" t="s">
        <v>259</v>
      </c>
      <c r="C176" t="s">
        <v>5</v>
      </c>
      <c r="D176" t="s">
        <v>75</v>
      </c>
    </row>
    <row r="177" spans="1:4" x14ac:dyDescent="0.25">
      <c r="A177" t="str">
        <f>"01411"</f>
        <v>01411</v>
      </c>
      <c r="B177" t="s">
        <v>260</v>
      </c>
      <c r="C177" t="s">
        <v>5</v>
      </c>
      <c r="D177" t="s">
        <v>75</v>
      </c>
    </row>
    <row r="178" spans="1:4" x14ac:dyDescent="0.25">
      <c r="A178" t="str">
        <f>"01414"</f>
        <v>01414</v>
      </c>
      <c r="B178" t="s">
        <v>261</v>
      </c>
      <c r="C178" t="s">
        <v>84</v>
      </c>
      <c r="D178" t="s">
        <v>40</v>
      </c>
    </row>
    <row r="179" spans="1:4" x14ac:dyDescent="0.25">
      <c r="A179" t="str">
        <f>"01417"</f>
        <v>01417</v>
      </c>
      <c r="B179" t="s">
        <v>262</v>
      </c>
      <c r="C179" t="s">
        <v>44</v>
      </c>
      <c r="D179" t="s">
        <v>85</v>
      </c>
    </row>
    <row r="180" spans="1:4" x14ac:dyDescent="0.25">
      <c r="A180" t="str">
        <f>"01421"</f>
        <v>01421</v>
      </c>
      <c r="B180" t="s">
        <v>263</v>
      </c>
      <c r="C180" t="s">
        <v>96</v>
      </c>
      <c r="D180" t="s">
        <v>99</v>
      </c>
    </row>
    <row r="181" spans="1:4" x14ac:dyDescent="0.25">
      <c r="A181" t="str">
        <f>"01423"</f>
        <v>01423</v>
      </c>
      <c r="B181" t="s">
        <v>264</v>
      </c>
      <c r="C181" t="s">
        <v>96</v>
      </c>
      <c r="D181" t="s">
        <v>65</v>
      </c>
    </row>
    <row r="182" spans="1:4" x14ac:dyDescent="0.25">
      <c r="A182" t="str">
        <f>"01425"</f>
        <v>01425</v>
      </c>
      <c r="B182" t="s">
        <v>265</v>
      </c>
      <c r="C182" t="s">
        <v>44</v>
      </c>
      <c r="D182" t="s">
        <v>12</v>
      </c>
    </row>
    <row r="183" spans="1:4" x14ac:dyDescent="0.25">
      <c r="A183" t="str">
        <f>"01429"</f>
        <v>01429</v>
      </c>
      <c r="B183" t="s">
        <v>266</v>
      </c>
      <c r="C183" t="s">
        <v>44</v>
      </c>
      <c r="D183" t="s">
        <v>73</v>
      </c>
    </row>
    <row r="184" spans="1:4" x14ac:dyDescent="0.25">
      <c r="A184" t="str">
        <f>"01435"</f>
        <v>01435</v>
      </c>
      <c r="B184" t="s">
        <v>267</v>
      </c>
      <c r="C184" t="s">
        <v>44</v>
      </c>
      <c r="D184" t="s">
        <v>99</v>
      </c>
    </row>
    <row r="185" spans="1:4" x14ac:dyDescent="0.25">
      <c r="A185" t="str">
        <f>"01436"</f>
        <v>01436</v>
      </c>
      <c r="B185" t="s">
        <v>268</v>
      </c>
      <c r="C185" t="s">
        <v>96</v>
      </c>
      <c r="D185" t="s">
        <v>67</v>
      </c>
    </row>
    <row r="186" spans="1:4" x14ac:dyDescent="0.25">
      <c r="A186" t="str">
        <f>"01439"</f>
        <v>01439</v>
      </c>
      <c r="B186" t="s">
        <v>269</v>
      </c>
      <c r="C186" t="s">
        <v>96</v>
      </c>
      <c r="D186" t="s">
        <v>85</v>
      </c>
    </row>
    <row r="187" spans="1:4" x14ac:dyDescent="0.25">
      <c r="A187" t="str">
        <f>"01442"</f>
        <v>01442</v>
      </c>
      <c r="B187" t="s">
        <v>270</v>
      </c>
      <c r="C187" t="s">
        <v>44</v>
      </c>
      <c r="D187" t="s">
        <v>122</v>
      </c>
    </row>
    <row r="188" spans="1:4" x14ac:dyDescent="0.25">
      <c r="A188" t="str">
        <f>"01446"</f>
        <v>01446</v>
      </c>
      <c r="B188" t="s">
        <v>271</v>
      </c>
      <c r="C188" t="s">
        <v>272</v>
      </c>
      <c r="D188" t="s">
        <v>12</v>
      </c>
    </row>
    <row r="189" spans="1:4" x14ac:dyDescent="0.25">
      <c r="A189" t="str">
        <f>"01447"</f>
        <v>01447</v>
      </c>
      <c r="B189" t="s">
        <v>273</v>
      </c>
      <c r="C189" t="s">
        <v>44</v>
      </c>
      <c r="D189" t="s">
        <v>85</v>
      </c>
    </row>
    <row r="190" spans="1:4" x14ac:dyDescent="0.25">
      <c r="A190" t="str">
        <f>"01455"</f>
        <v>01455</v>
      </c>
      <c r="B190" t="s">
        <v>274</v>
      </c>
      <c r="C190" t="s">
        <v>44</v>
      </c>
      <c r="D190" t="s">
        <v>85</v>
      </c>
    </row>
    <row r="191" spans="1:4" x14ac:dyDescent="0.25">
      <c r="A191" t="str">
        <f>"01466"</f>
        <v>01466</v>
      </c>
      <c r="B191" t="s">
        <v>275</v>
      </c>
      <c r="C191" t="s">
        <v>96</v>
      </c>
      <c r="D191" t="s">
        <v>125</v>
      </c>
    </row>
    <row r="192" spans="1:4" x14ac:dyDescent="0.25">
      <c r="A192" t="str">
        <f>"01497"</f>
        <v>01497</v>
      </c>
      <c r="B192" t="s">
        <v>276</v>
      </c>
      <c r="C192" t="s">
        <v>44</v>
      </c>
      <c r="D192" t="s">
        <v>85</v>
      </c>
    </row>
    <row r="193" spans="1:4" x14ac:dyDescent="0.25">
      <c r="A193" t="str">
        <f>"01507"</f>
        <v>01507</v>
      </c>
      <c r="B193" t="s">
        <v>277</v>
      </c>
      <c r="C193" t="s">
        <v>278</v>
      </c>
      <c r="D193" t="s">
        <v>118</v>
      </c>
    </row>
    <row r="194" spans="1:4" x14ac:dyDescent="0.25">
      <c r="A194" t="str">
        <f>"01516"</f>
        <v>01516</v>
      </c>
      <c r="B194" t="s">
        <v>279</v>
      </c>
      <c r="C194" t="s">
        <v>280</v>
      </c>
      <c r="D194" t="s">
        <v>80</v>
      </c>
    </row>
    <row r="195" spans="1:4" x14ac:dyDescent="0.25">
      <c r="A195" t="str">
        <f>"01578"</f>
        <v>01578</v>
      </c>
      <c r="B195" t="s">
        <v>281</v>
      </c>
      <c r="C195" t="s">
        <v>96</v>
      </c>
      <c r="D195" t="s">
        <v>125</v>
      </c>
    </row>
    <row r="196" spans="1:4" x14ac:dyDescent="0.25">
      <c r="A196" t="str">
        <f>"01689"</f>
        <v>01689</v>
      </c>
      <c r="B196" t="s">
        <v>282</v>
      </c>
      <c r="C196" t="s">
        <v>44</v>
      </c>
      <c r="D196" t="s">
        <v>122</v>
      </c>
    </row>
    <row r="197" spans="1:4" x14ac:dyDescent="0.25">
      <c r="A197" t="str">
        <f>"01690"</f>
        <v>01690</v>
      </c>
      <c r="B197" t="s">
        <v>283</v>
      </c>
      <c r="C197" t="s">
        <v>5</v>
      </c>
      <c r="D197" t="s">
        <v>75</v>
      </c>
    </row>
    <row r="198" spans="1:4" x14ac:dyDescent="0.25">
      <c r="A198" t="str">
        <f>"01692"</f>
        <v>01692</v>
      </c>
      <c r="B198" t="s">
        <v>284</v>
      </c>
      <c r="C198" t="s">
        <v>285</v>
      </c>
      <c r="D198" t="s">
        <v>28</v>
      </c>
    </row>
    <row r="199" spans="1:4" x14ac:dyDescent="0.25">
      <c r="A199" t="str">
        <f>"01693"</f>
        <v>01693</v>
      </c>
      <c r="B199" t="s">
        <v>286</v>
      </c>
      <c r="C199" t="s">
        <v>111</v>
      </c>
      <c r="D199" t="s">
        <v>287</v>
      </c>
    </row>
    <row r="200" spans="1:4" x14ac:dyDescent="0.25">
      <c r="A200" t="str">
        <f>"01697"</f>
        <v>01697</v>
      </c>
      <c r="B200" t="s">
        <v>288</v>
      </c>
      <c r="C200" t="s">
        <v>11</v>
      </c>
      <c r="D200" t="s">
        <v>80</v>
      </c>
    </row>
    <row r="201" spans="1:4" x14ac:dyDescent="0.25">
      <c r="A201" t="str">
        <f>"01702"</f>
        <v>01702</v>
      </c>
      <c r="B201" t="s">
        <v>289</v>
      </c>
      <c r="C201" t="s">
        <v>96</v>
      </c>
      <c r="D201" t="s">
        <v>73</v>
      </c>
    </row>
    <row r="202" spans="1:4" x14ac:dyDescent="0.25">
      <c r="A202" t="str">
        <f>"01704"</f>
        <v>01704</v>
      </c>
      <c r="B202" t="s">
        <v>290</v>
      </c>
      <c r="C202" t="s">
        <v>96</v>
      </c>
      <c r="D202" t="s">
        <v>99</v>
      </c>
    </row>
    <row r="203" spans="1:4" x14ac:dyDescent="0.25">
      <c r="A203" t="str">
        <f>"01707"</f>
        <v>01707</v>
      </c>
      <c r="B203" t="s">
        <v>291</v>
      </c>
      <c r="C203" t="s">
        <v>96</v>
      </c>
      <c r="D203" t="s">
        <v>292</v>
      </c>
    </row>
    <row r="204" spans="1:4" x14ac:dyDescent="0.25">
      <c r="A204" t="str">
        <f>"01708"</f>
        <v>01708</v>
      </c>
      <c r="B204" t="s">
        <v>293</v>
      </c>
      <c r="C204" t="s">
        <v>202</v>
      </c>
      <c r="D204" t="s">
        <v>122</v>
      </c>
    </row>
    <row r="205" spans="1:4" x14ac:dyDescent="0.25">
      <c r="A205" t="str">
        <f>"01709"</f>
        <v>01709</v>
      </c>
      <c r="B205" t="s">
        <v>294</v>
      </c>
      <c r="C205" t="s">
        <v>295</v>
      </c>
      <c r="D205" t="s">
        <v>61</v>
      </c>
    </row>
    <row r="206" spans="1:4" x14ac:dyDescent="0.25">
      <c r="A206" t="str">
        <f>"01711"</f>
        <v>01711</v>
      </c>
      <c r="B206" t="s">
        <v>296</v>
      </c>
      <c r="C206" t="s">
        <v>96</v>
      </c>
      <c r="D206" t="s">
        <v>12</v>
      </c>
    </row>
    <row r="207" spans="1:4" x14ac:dyDescent="0.25">
      <c r="A207" t="str">
        <f>"01712"</f>
        <v>01712</v>
      </c>
      <c r="B207" t="s">
        <v>297</v>
      </c>
      <c r="C207" t="s">
        <v>96</v>
      </c>
      <c r="D207" t="s">
        <v>65</v>
      </c>
    </row>
    <row r="208" spans="1:4" x14ac:dyDescent="0.25">
      <c r="A208" t="str">
        <f>"01714"</f>
        <v>01714</v>
      </c>
      <c r="B208" t="s">
        <v>298</v>
      </c>
      <c r="C208" t="s">
        <v>299</v>
      </c>
      <c r="D208" t="s">
        <v>85</v>
      </c>
    </row>
    <row r="209" spans="1:4" x14ac:dyDescent="0.25">
      <c r="A209" t="str">
        <f>"01720"</f>
        <v>01720</v>
      </c>
      <c r="B209" t="s">
        <v>300</v>
      </c>
      <c r="C209" t="s">
        <v>96</v>
      </c>
      <c r="D209" t="s">
        <v>40</v>
      </c>
    </row>
    <row r="210" spans="1:4" x14ac:dyDescent="0.25">
      <c r="A210" t="str">
        <f>"01727"</f>
        <v>01727</v>
      </c>
      <c r="B210" t="s">
        <v>301</v>
      </c>
      <c r="C210" t="s">
        <v>302</v>
      </c>
      <c r="D210" t="s">
        <v>12</v>
      </c>
    </row>
    <row r="211" spans="1:4" x14ac:dyDescent="0.25">
      <c r="A211" t="str">
        <f>"01728"</f>
        <v>01728</v>
      </c>
      <c r="B211" t="s">
        <v>303</v>
      </c>
      <c r="C211" t="s">
        <v>304</v>
      </c>
      <c r="D211" t="s">
        <v>85</v>
      </c>
    </row>
    <row r="212" spans="1:4" x14ac:dyDescent="0.25">
      <c r="A212" t="str">
        <f>"01732"</f>
        <v>01732</v>
      </c>
      <c r="B212" t="s">
        <v>305</v>
      </c>
      <c r="C212" t="s">
        <v>79</v>
      </c>
      <c r="D212" t="s">
        <v>40</v>
      </c>
    </row>
    <row r="213" spans="1:4" x14ac:dyDescent="0.25">
      <c r="A213" t="str">
        <f>"01735"</f>
        <v>01735</v>
      </c>
      <c r="B213" t="s">
        <v>306</v>
      </c>
      <c r="C213" t="s">
        <v>96</v>
      </c>
      <c r="D213" t="s">
        <v>80</v>
      </c>
    </row>
    <row r="214" spans="1:4" x14ac:dyDescent="0.25">
      <c r="A214" t="str">
        <f>"01739"</f>
        <v>01739</v>
      </c>
      <c r="B214" t="s">
        <v>307</v>
      </c>
      <c r="C214" t="s">
        <v>308</v>
      </c>
      <c r="D214" t="s">
        <v>61</v>
      </c>
    </row>
    <row r="215" spans="1:4" x14ac:dyDescent="0.25">
      <c r="A215" t="str">
        <f>"01740"</f>
        <v>01740</v>
      </c>
      <c r="B215" t="s">
        <v>309</v>
      </c>
      <c r="C215" t="s">
        <v>111</v>
      </c>
      <c r="D215" t="s">
        <v>99</v>
      </c>
    </row>
    <row r="216" spans="1:4" x14ac:dyDescent="0.25">
      <c r="A216" t="str">
        <f>"01744"</f>
        <v>01744</v>
      </c>
      <c r="B216" t="s">
        <v>310</v>
      </c>
      <c r="C216" t="s">
        <v>96</v>
      </c>
      <c r="D216" t="s">
        <v>75</v>
      </c>
    </row>
    <row r="217" spans="1:4" x14ac:dyDescent="0.25">
      <c r="A217" t="str">
        <f>"01745"</f>
        <v>01745</v>
      </c>
      <c r="B217" t="s">
        <v>311</v>
      </c>
      <c r="C217" t="s">
        <v>111</v>
      </c>
      <c r="D217" t="s">
        <v>125</v>
      </c>
    </row>
    <row r="218" spans="1:4" x14ac:dyDescent="0.25">
      <c r="A218" t="str">
        <f>"01746"</f>
        <v>01746</v>
      </c>
      <c r="B218" t="s">
        <v>312</v>
      </c>
      <c r="C218" t="s">
        <v>202</v>
      </c>
      <c r="D218" t="s">
        <v>40</v>
      </c>
    </row>
    <row r="219" spans="1:4" x14ac:dyDescent="0.25">
      <c r="A219" t="str">
        <f>"01754"</f>
        <v>01754</v>
      </c>
      <c r="B219" t="s">
        <v>313</v>
      </c>
      <c r="C219" t="s">
        <v>96</v>
      </c>
      <c r="D219" t="s">
        <v>125</v>
      </c>
    </row>
    <row r="220" spans="1:4" x14ac:dyDescent="0.25">
      <c r="A220" t="str">
        <f>"01763"</f>
        <v>01763</v>
      </c>
      <c r="B220" t="s">
        <v>314</v>
      </c>
      <c r="C220" t="s">
        <v>44</v>
      </c>
      <c r="D220" t="s">
        <v>122</v>
      </c>
    </row>
    <row r="221" spans="1:4" x14ac:dyDescent="0.25">
      <c r="A221" t="str">
        <f>"01768"</f>
        <v>01768</v>
      </c>
      <c r="B221" t="s">
        <v>315</v>
      </c>
      <c r="C221" t="s">
        <v>111</v>
      </c>
      <c r="D221" t="s">
        <v>97</v>
      </c>
    </row>
    <row r="222" spans="1:4" x14ac:dyDescent="0.25">
      <c r="A222" t="str">
        <f>"01772"</f>
        <v>01772</v>
      </c>
      <c r="B222" t="s">
        <v>316</v>
      </c>
      <c r="C222" t="s">
        <v>96</v>
      </c>
      <c r="D222" t="s">
        <v>97</v>
      </c>
    </row>
    <row r="223" spans="1:4" x14ac:dyDescent="0.25">
      <c r="A223" t="str">
        <f>"01780"</f>
        <v>01780</v>
      </c>
      <c r="B223" t="s">
        <v>317</v>
      </c>
      <c r="C223" t="s">
        <v>96</v>
      </c>
      <c r="D223" t="s">
        <v>19</v>
      </c>
    </row>
    <row r="224" spans="1:4" x14ac:dyDescent="0.25">
      <c r="A224" t="str">
        <f>"01786"</f>
        <v>01786</v>
      </c>
      <c r="B224" t="s">
        <v>318</v>
      </c>
      <c r="C224" t="s">
        <v>44</v>
      </c>
      <c r="D224" t="s">
        <v>40</v>
      </c>
    </row>
    <row r="225" spans="1:4" x14ac:dyDescent="0.25">
      <c r="A225" t="str">
        <f>"01787"</f>
        <v>01787</v>
      </c>
      <c r="B225" t="s">
        <v>319</v>
      </c>
      <c r="C225" t="s">
        <v>44</v>
      </c>
      <c r="D225" t="s">
        <v>40</v>
      </c>
    </row>
    <row r="226" spans="1:4" x14ac:dyDescent="0.25">
      <c r="A226" t="str">
        <f>"01799"</f>
        <v>01799</v>
      </c>
      <c r="B226" t="s">
        <v>320</v>
      </c>
      <c r="C226" t="s">
        <v>11</v>
      </c>
      <c r="D226" t="s">
        <v>65</v>
      </c>
    </row>
    <row r="227" spans="1:4" x14ac:dyDescent="0.25">
      <c r="A227" t="str">
        <f>"01825"</f>
        <v>01825</v>
      </c>
      <c r="B227" t="s">
        <v>321</v>
      </c>
      <c r="C227" t="s">
        <v>11</v>
      </c>
      <c r="D227" t="s">
        <v>19</v>
      </c>
    </row>
    <row r="228" spans="1:4" x14ac:dyDescent="0.25">
      <c r="A228" t="str">
        <f>"01833"</f>
        <v>01833</v>
      </c>
      <c r="B228" t="s">
        <v>322</v>
      </c>
      <c r="C228" t="s">
        <v>52</v>
      </c>
      <c r="D228" t="s">
        <v>40</v>
      </c>
    </row>
    <row r="229" spans="1:4" x14ac:dyDescent="0.25">
      <c r="A229" t="str">
        <f>"01837"</f>
        <v>01837</v>
      </c>
      <c r="B229" t="s">
        <v>323</v>
      </c>
      <c r="C229" t="s">
        <v>324</v>
      </c>
      <c r="D229" t="s">
        <v>189</v>
      </c>
    </row>
    <row r="230" spans="1:4" x14ac:dyDescent="0.25">
      <c r="A230" t="str">
        <f>"01838"</f>
        <v>01838</v>
      </c>
      <c r="B230" t="s">
        <v>325</v>
      </c>
      <c r="C230" t="s">
        <v>22</v>
      </c>
      <c r="D230" t="s">
        <v>17</v>
      </c>
    </row>
    <row r="231" spans="1:4" x14ac:dyDescent="0.25">
      <c r="A231" t="str">
        <f>"01845"</f>
        <v>01845</v>
      </c>
      <c r="B231" t="s">
        <v>326</v>
      </c>
      <c r="C231" t="s">
        <v>327</v>
      </c>
      <c r="D231" t="s">
        <v>109</v>
      </c>
    </row>
    <row r="232" spans="1:4" x14ac:dyDescent="0.25">
      <c r="A232" t="str">
        <f>"01861"</f>
        <v>01861</v>
      </c>
      <c r="B232" t="s">
        <v>328</v>
      </c>
      <c r="C232" t="s">
        <v>44</v>
      </c>
      <c r="D232" t="s">
        <v>122</v>
      </c>
    </row>
    <row r="233" spans="1:4" x14ac:dyDescent="0.25">
      <c r="A233" t="str">
        <f>"01863"</f>
        <v>01863</v>
      </c>
      <c r="B233" t="s">
        <v>329</v>
      </c>
      <c r="C233" t="s">
        <v>330</v>
      </c>
      <c r="D233" t="s">
        <v>109</v>
      </c>
    </row>
    <row r="234" spans="1:4" x14ac:dyDescent="0.25">
      <c r="A234" t="str">
        <f>"01872"</f>
        <v>01872</v>
      </c>
      <c r="B234" t="s">
        <v>331</v>
      </c>
      <c r="C234" t="s">
        <v>332</v>
      </c>
      <c r="D234" t="s">
        <v>122</v>
      </c>
    </row>
    <row r="235" spans="1:4" x14ac:dyDescent="0.25">
      <c r="A235" t="str">
        <f>"01874"</f>
        <v>01874</v>
      </c>
      <c r="B235" t="s">
        <v>333</v>
      </c>
      <c r="C235" t="s">
        <v>334</v>
      </c>
      <c r="D235" t="s">
        <v>105</v>
      </c>
    </row>
    <row r="236" spans="1:4" x14ac:dyDescent="0.25">
      <c r="A236" t="str">
        <f>"01878"</f>
        <v>01878</v>
      </c>
      <c r="B236" t="s">
        <v>335</v>
      </c>
      <c r="C236" t="s">
        <v>11</v>
      </c>
      <c r="D236" t="s">
        <v>133</v>
      </c>
    </row>
    <row r="237" spans="1:4" x14ac:dyDescent="0.25">
      <c r="A237" t="str">
        <f>"01885"</f>
        <v>01885</v>
      </c>
      <c r="B237" t="s">
        <v>336</v>
      </c>
      <c r="C237" t="s">
        <v>96</v>
      </c>
      <c r="D237" t="s">
        <v>67</v>
      </c>
    </row>
    <row r="238" spans="1:4" x14ac:dyDescent="0.25">
      <c r="A238" t="str">
        <f>"01892"</f>
        <v>01892</v>
      </c>
      <c r="B238" t="s">
        <v>337</v>
      </c>
      <c r="C238" t="s">
        <v>96</v>
      </c>
      <c r="D238" t="s">
        <v>133</v>
      </c>
    </row>
    <row r="239" spans="1:4" x14ac:dyDescent="0.25">
      <c r="A239" t="str">
        <f>"01893"</f>
        <v>01893</v>
      </c>
      <c r="B239" t="s">
        <v>338</v>
      </c>
      <c r="C239" t="s">
        <v>339</v>
      </c>
      <c r="D239" t="s">
        <v>135</v>
      </c>
    </row>
    <row r="240" spans="1:4" x14ac:dyDescent="0.25">
      <c r="A240" t="str">
        <f>"01894"</f>
        <v>01894</v>
      </c>
      <c r="B240" t="s">
        <v>340</v>
      </c>
      <c r="C240" t="s">
        <v>111</v>
      </c>
      <c r="D240" t="s">
        <v>19</v>
      </c>
    </row>
    <row r="241" spans="1:4" x14ac:dyDescent="0.25">
      <c r="A241" t="str">
        <f>"01895"</f>
        <v>01895</v>
      </c>
      <c r="B241" t="s">
        <v>341</v>
      </c>
      <c r="C241" t="s">
        <v>272</v>
      </c>
      <c r="D241" t="s">
        <v>85</v>
      </c>
    </row>
    <row r="242" spans="1:4" x14ac:dyDescent="0.25">
      <c r="A242" t="str">
        <f>"01900"</f>
        <v>01900</v>
      </c>
      <c r="B242" t="s">
        <v>342</v>
      </c>
      <c r="C242" t="s">
        <v>96</v>
      </c>
      <c r="D242" t="s">
        <v>99</v>
      </c>
    </row>
    <row r="243" spans="1:4" x14ac:dyDescent="0.25">
      <c r="A243" t="str">
        <f>"01904"</f>
        <v>01904</v>
      </c>
      <c r="B243" t="s">
        <v>343</v>
      </c>
      <c r="C243" t="s">
        <v>96</v>
      </c>
      <c r="D243" t="s">
        <v>133</v>
      </c>
    </row>
    <row r="244" spans="1:4" x14ac:dyDescent="0.25">
      <c r="A244" t="str">
        <f>"01905"</f>
        <v>01905</v>
      </c>
      <c r="B244" t="s">
        <v>344</v>
      </c>
      <c r="C244" t="s">
        <v>96</v>
      </c>
      <c r="D244" t="s">
        <v>73</v>
      </c>
    </row>
    <row r="245" spans="1:4" x14ac:dyDescent="0.25">
      <c r="A245" t="str">
        <f>"01907"</f>
        <v>01907</v>
      </c>
      <c r="B245" t="s">
        <v>345</v>
      </c>
      <c r="C245" t="s">
        <v>96</v>
      </c>
      <c r="D245" t="s">
        <v>97</v>
      </c>
    </row>
    <row r="246" spans="1:4" x14ac:dyDescent="0.25">
      <c r="A246" t="str">
        <f>"01909"</f>
        <v>01909</v>
      </c>
      <c r="B246" t="s">
        <v>346</v>
      </c>
      <c r="C246" t="s">
        <v>96</v>
      </c>
      <c r="D246" t="s">
        <v>91</v>
      </c>
    </row>
    <row r="247" spans="1:4" x14ac:dyDescent="0.25">
      <c r="A247" t="str">
        <f>"01913"</f>
        <v>01913</v>
      </c>
      <c r="B247" t="s">
        <v>347</v>
      </c>
      <c r="C247" t="s">
        <v>96</v>
      </c>
      <c r="D247" t="s">
        <v>73</v>
      </c>
    </row>
    <row r="248" spans="1:4" x14ac:dyDescent="0.25">
      <c r="A248" t="str">
        <f>"01914"</f>
        <v>01914</v>
      </c>
      <c r="B248" t="s">
        <v>348</v>
      </c>
      <c r="C248" t="s">
        <v>96</v>
      </c>
      <c r="D248" t="s">
        <v>6</v>
      </c>
    </row>
    <row r="249" spans="1:4" x14ac:dyDescent="0.25">
      <c r="A249" t="str">
        <f>"01915"</f>
        <v>01915</v>
      </c>
      <c r="B249" t="s">
        <v>349</v>
      </c>
      <c r="C249" t="s">
        <v>350</v>
      </c>
      <c r="D249" t="s">
        <v>109</v>
      </c>
    </row>
    <row r="250" spans="1:4" x14ac:dyDescent="0.25">
      <c r="A250" t="str">
        <f>"01916"</f>
        <v>01916</v>
      </c>
      <c r="B250" t="s">
        <v>351</v>
      </c>
      <c r="C250" t="s">
        <v>352</v>
      </c>
      <c r="D250" t="s">
        <v>9</v>
      </c>
    </row>
    <row r="251" spans="1:4" x14ac:dyDescent="0.25">
      <c r="A251" t="str">
        <f>"01918"</f>
        <v>01918</v>
      </c>
      <c r="B251" t="s">
        <v>353</v>
      </c>
      <c r="C251" t="s">
        <v>96</v>
      </c>
      <c r="D251" t="s">
        <v>73</v>
      </c>
    </row>
    <row r="252" spans="1:4" x14ac:dyDescent="0.25">
      <c r="A252" t="str">
        <f>"01919"</f>
        <v>01919</v>
      </c>
      <c r="B252" t="s">
        <v>354</v>
      </c>
      <c r="C252" t="s">
        <v>96</v>
      </c>
      <c r="D252" t="s">
        <v>73</v>
      </c>
    </row>
    <row r="253" spans="1:4" x14ac:dyDescent="0.25">
      <c r="A253" t="str">
        <f>"01920"</f>
        <v>01920</v>
      </c>
      <c r="B253" t="s">
        <v>355</v>
      </c>
      <c r="C253" t="s">
        <v>96</v>
      </c>
      <c r="D253" t="s">
        <v>73</v>
      </c>
    </row>
    <row r="254" spans="1:4" x14ac:dyDescent="0.25">
      <c r="A254" t="str">
        <f>"01927"</f>
        <v>01927</v>
      </c>
      <c r="B254" t="s">
        <v>356</v>
      </c>
      <c r="C254" t="s">
        <v>357</v>
      </c>
      <c r="D254" t="s">
        <v>105</v>
      </c>
    </row>
    <row r="255" spans="1:4" x14ac:dyDescent="0.25">
      <c r="A255" t="str">
        <f>"01931"</f>
        <v>01931</v>
      </c>
      <c r="B255" t="s">
        <v>358</v>
      </c>
      <c r="C255" t="s">
        <v>64</v>
      </c>
      <c r="D255" t="s">
        <v>17</v>
      </c>
    </row>
    <row r="256" spans="1:4" x14ac:dyDescent="0.25">
      <c r="A256" t="str">
        <f>"01933"</f>
        <v>01933</v>
      </c>
      <c r="B256" t="s">
        <v>359</v>
      </c>
      <c r="C256" t="s">
        <v>285</v>
      </c>
      <c r="D256" t="s">
        <v>28</v>
      </c>
    </row>
    <row r="257" spans="1:4" x14ac:dyDescent="0.25">
      <c r="A257" t="str">
        <f>"01937"</f>
        <v>01937</v>
      </c>
      <c r="B257" t="s">
        <v>360</v>
      </c>
      <c r="C257" t="s">
        <v>64</v>
      </c>
      <c r="D257" t="s">
        <v>34</v>
      </c>
    </row>
    <row r="258" spans="1:4" x14ac:dyDescent="0.25">
      <c r="A258" t="str">
        <f>"01940"</f>
        <v>01940</v>
      </c>
      <c r="B258" t="s">
        <v>361</v>
      </c>
      <c r="C258" t="s">
        <v>22</v>
      </c>
      <c r="D258" t="s">
        <v>362</v>
      </c>
    </row>
    <row r="259" spans="1:4" x14ac:dyDescent="0.25">
      <c r="A259" t="str">
        <f>"01941"</f>
        <v>01941</v>
      </c>
      <c r="B259" t="s">
        <v>363</v>
      </c>
      <c r="C259" t="s">
        <v>22</v>
      </c>
      <c r="D259" t="s">
        <v>287</v>
      </c>
    </row>
    <row r="260" spans="1:4" x14ac:dyDescent="0.25">
      <c r="A260" t="str">
        <f>"01942"</f>
        <v>01942</v>
      </c>
      <c r="B260" t="s">
        <v>364</v>
      </c>
      <c r="C260" t="s">
        <v>22</v>
      </c>
      <c r="D260" t="s">
        <v>23</v>
      </c>
    </row>
    <row r="261" spans="1:4" x14ac:dyDescent="0.25">
      <c r="A261" t="str">
        <f>"01953"</f>
        <v>01953</v>
      </c>
      <c r="B261" t="s">
        <v>365</v>
      </c>
      <c r="C261" t="s">
        <v>33</v>
      </c>
      <c r="D261" t="s">
        <v>80</v>
      </c>
    </row>
    <row r="262" spans="1:4" x14ac:dyDescent="0.25">
      <c r="A262" t="str">
        <f>"01958"</f>
        <v>01958</v>
      </c>
      <c r="B262" t="s">
        <v>366</v>
      </c>
      <c r="C262" t="s">
        <v>96</v>
      </c>
      <c r="D262" t="s">
        <v>73</v>
      </c>
    </row>
    <row r="263" spans="1:4" x14ac:dyDescent="0.25">
      <c r="A263" t="str">
        <f>"01959"</f>
        <v>01959</v>
      </c>
      <c r="B263" t="s">
        <v>367</v>
      </c>
      <c r="C263" t="s">
        <v>96</v>
      </c>
      <c r="D263" t="s">
        <v>133</v>
      </c>
    </row>
    <row r="264" spans="1:4" x14ac:dyDescent="0.25">
      <c r="A264" t="str">
        <f>"01964"</f>
        <v>01964</v>
      </c>
      <c r="B264" t="s">
        <v>368</v>
      </c>
      <c r="C264" t="s">
        <v>369</v>
      </c>
      <c r="D264" t="s">
        <v>141</v>
      </c>
    </row>
    <row r="265" spans="1:4" x14ac:dyDescent="0.25">
      <c r="A265" t="str">
        <f>"01968"</f>
        <v>01968</v>
      </c>
      <c r="B265" t="s">
        <v>370</v>
      </c>
      <c r="C265" t="s">
        <v>272</v>
      </c>
      <c r="D265" t="s">
        <v>85</v>
      </c>
    </row>
    <row r="266" spans="1:4" x14ac:dyDescent="0.25">
      <c r="A266" t="str">
        <f>"01975"</f>
        <v>01975</v>
      </c>
      <c r="B266" t="s">
        <v>371</v>
      </c>
      <c r="C266" t="s">
        <v>33</v>
      </c>
      <c r="D266" t="s">
        <v>91</v>
      </c>
    </row>
    <row r="267" spans="1:4" x14ac:dyDescent="0.25">
      <c r="A267" t="str">
        <f>"01976"</f>
        <v>01976</v>
      </c>
      <c r="B267" t="s">
        <v>372</v>
      </c>
      <c r="C267" t="s">
        <v>96</v>
      </c>
      <c r="D267" t="s">
        <v>73</v>
      </c>
    </row>
    <row r="268" spans="1:4" x14ac:dyDescent="0.25">
      <c r="A268" t="str">
        <f>"01984"</f>
        <v>01984</v>
      </c>
      <c r="B268" t="s">
        <v>373</v>
      </c>
      <c r="C268" t="s">
        <v>96</v>
      </c>
      <c r="D268" t="s">
        <v>125</v>
      </c>
    </row>
    <row r="269" spans="1:4" x14ac:dyDescent="0.25">
      <c r="A269" t="str">
        <f>"01988"</f>
        <v>01988</v>
      </c>
      <c r="B269" t="s">
        <v>374</v>
      </c>
      <c r="C269" t="s">
        <v>96</v>
      </c>
      <c r="D269" t="s">
        <v>73</v>
      </c>
    </row>
    <row r="270" spans="1:4" x14ac:dyDescent="0.25">
      <c r="A270" t="str">
        <f>"01989"</f>
        <v>01989</v>
      </c>
      <c r="B270" t="s">
        <v>375</v>
      </c>
      <c r="C270" t="s">
        <v>96</v>
      </c>
      <c r="D270" t="s">
        <v>73</v>
      </c>
    </row>
    <row r="271" spans="1:4" x14ac:dyDescent="0.25">
      <c r="A271" t="str">
        <f>"01995"</f>
        <v>01995</v>
      </c>
      <c r="B271" t="s">
        <v>376</v>
      </c>
      <c r="C271" t="s">
        <v>96</v>
      </c>
      <c r="D271" t="s">
        <v>97</v>
      </c>
    </row>
    <row r="272" spans="1:4" x14ac:dyDescent="0.25">
      <c r="A272" t="str">
        <f>"02002"</f>
        <v>02002</v>
      </c>
      <c r="B272" t="s">
        <v>377</v>
      </c>
      <c r="C272" t="s">
        <v>378</v>
      </c>
      <c r="D272" t="s">
        <v>379</v>
      </c>
    </row>
    <row r="273" spans="1:4" x14ac:dyDescent="0.25">
      <c r="A273" t="str">
        <f>"02005"</f>
        <v>02005</v>
      </c>
      <c r="B273" t="s">
        <v>380</v>
      </c>
      <c r="C273" t="s">
        <v>96</v>
      </c>
      <c r="D273" t="s">
        <v>97</v>
      </c>
    </row>
    <row r="274" spans="1:4" x14ac:dyDescent="0.25">
      <c r="A274" t="str">
        <f>"02007"</f>
        <v>02007</v>
      </c>
      <c r="B274" t="s">
        <v>381</v>
      </c>
      <c r="C274" t="s">
        <v>96</v>
      </c>
      <c r="D274" t="s">
        <v>67</v>
      </c>
    </row>
    <row r="275" spans="1:4" x14ac:dyDescent="0.25">
      <c r="A275" t="str">
        <f>"02008"</f>
        <v>02008</v>
      </c>
      <c r="B275" t="s">
        <v>382</v>
      </c>
      <c r="C275" t="s">
        <v>96</v>
      </c>
      <c r="D275" t="s">
        <v>67</v>
      </c>
    </row>
    <row r="276" spans="1:4" x14ac:dyDescent="0.25">
      <c r="A276" t="str">
        <f>"02010"</f>
        <v>02010</v>
      </c>
      <c r="B276" t="s">
        <v>383</v>
      </c>
      <c r="C276" t="s">
        <v>96</v>
      </c>
      <c r="D276" t="s">
        <v>67</v>
      </c>
    </row>
    <row r="277" spans="1:4" x14ac:dyDescent="0.25">
      <c r="A277" t="str">
        <f>"02023"</f>
        <v>02023</v>
      </c>
      <c r="B277" t="s">
        <v>384</v>
      </c>
      <c r="C277" t="s">
        <v>385</v>
      </c>
      <c r="D277" t="s">
        <v>17</v>
      </c>
    </row>
    <row r="278" spans="1:4" x14ac:dyDescent="0.25">
      <c r="A278" t="str">
        <f>"02024"</f>
        <v>02024</v>
      </c>
      <c r="B278" t="s">
        <v>386</v>
      </c>
      <c r="C278" t="s">
        <v>143</v>
      </c>
      <c r="D278" t="s">
        <v>105</v>
      </c>
    </row>
    <row r="279" spans="1:4" x14ac:dyDescent="0.25">
      <c r="A279" t="str">
        <f>"02062"</f>
        <v>02062</v>
      </c>
      <c r="B279" t="s">
        <v>387</v>
      </c>
      <c r="C279" t="s">
        <v>388</v>
      </c>
      <c r="D279" t="s">
        <v>102</v>
      </c>
    </row>
    <row r="280" spans="1:4" x14ac:dyDescent="0.25">
      <c r="A280" t="str">
        <f>"02064"</f>
        <v>02064</v>
      </c>
      <c r="B280" t="s">
        <v>389</v>
      </c>
      <c r="C280" t="s">
        <v>64</v>
      </c>
      <c r="D280" t="s">
        <v>390</v>
      </c>
    </row>
    <row r="281" spans="1:4" x14ac:dyDescent="0.25">
      <c r="A281" t="str">
        <f>"02066"</f>
        <v>02066</v>
      </c>
      <c r="B281" t="s">
        <v>391</v>
      </c>
      <c r="C281" t="s">
        <v>44</v>
      </c>
      <c r="D281" t="s">
        <v>99</v>
      </c>
    </row>
    <row r="282" spans="1:4" x14ac:dyDescent="0.25">
      <c r="A282" t="str">
        <f>"02068"</f>
        <v>02068</v>
      </c>
      <c r="B282" t="s">
        <v>392</v>
      </c>
      <c r="C282" t="s">
        <v>272</v>
      </c>
      <c r="D282" t="s">
        <v>287</v>
      </c>
    </row>
    <row r="283" spans="1:4" x14ac:dyDescent="0.25">
      <c r="A283" t="str">
        <f>"02069"</f>
        <v>02069</v>
      </c>
      <c r="B283" t="s">
        <v>393</v>
      </c>
      <c r="C283" t="s">
        <v>272</v>
      </c>
      <c r="D283" t="s">
        <v>97</v>
      </c>
    </row>
    <row r="284" spans="1:4" x14ac:dyDescent="0.25">
      <c r="A284" t="str">
        <f>"02072"</f>
        <v>02072</v>
      </c>
      <c r="B284" t="s">
        <v>394</v>
      </c>
      <c r="C284" t="s">
        <v>395</v>
      </c>
      <c r="D284" t="s">
        <v>105</v>
      </c>
    </row>
    <row r="285" spans="1:4" x14ac:dyDescent="0.25">
      <c r="A285" t="str">
        <f>"02076"</f>
        <v>02076</v>
      </c>
      <c r="B285" t="s">
        <v>396</v>
      </c>
      <c r="C285" t="s">
        <v>44</v>
      </c>
      <c r="D285" t="s">
        <v>97</v>
      </c>
    </row>
    <row r="286" spans="1:4" x14ac:dyDescent="0.25">
      <c r="A286" t="str">
        <f>"02090"</f>
        <v>02090</v>
      </c>
      <c r="B286" t="s">
        <v>397</v>
      </c>
      <c r="C286" t="s">
        <v>272</v>
      </c>
      <c r="D286" t="s">
        <v>149</v>
      </c>
    </row>
    <row r="287" spans="1:4" x14ac:dyDescent="0.25">
      <c r="A287" t="str">
        <f>"02092"</f>
        <v>02092</v>
      </c>
      <c r="B287" t="s">
        <v>398</v>
      </c>
      <c r="C287" t="s">
        <v>64</v>
      </c>
      <c r="D287" t="s">
        <v>122</v>
      </c>
    </row>
    <row r="288" spans="1:4" x14ac:dyDescent="0.25">
      <c r="A288" t="str">
        <f>"02102"</f>
        <v>02102</v>
      </c>
      <c r="B288" t="s">
        <v>399</v>
      </c>
      <c r="C288" t="s">
        <v>378</v>
      </c>
      <c r="D288" t="s">
        <v>12</v>
      </c>
    </row>
    <row r="289" spans="1:4" x14ac:dyDescent="0.25">
      <c r="A289" t="str">
        <f>"02107"</f>
        <v>02107</v>
      </c>
      <c r="B289" t="s">
        <v>400</v>
      </c>
      <c r="C289" t="s">
        <v>401</v>
      </c>
      <c r="D289" t="s">
        <v>34</v>
      </c>
    </row>
    <row r="290" spans="1:4" x14ac:dyDescent="0.25">
      <c r="A290" t="str">
        <f>"02118"</f>
        <v>02118</v>
      </c>
      <c r="B290" t="s">
        <v>402</v>
      </c>
      <c r="C290" t="s">
        <v>378</v>
      </c>
      <c r="D290" t="s">
        <v>379</v>
      </c>
    </row>
    <row r="291" spans="1:4" x14ac:dyDescent="0.25">
      <c r="A291" t="str">
        <f>"02130"</f>
        <v>02130</v>
      </c>
      <c r="B291" t="s">
        <v>403</v>
      </c>
      <c r="C291" t="s">
        <v>96</v>
      </c>
      <c r="D291" t="s">
        <v>379</v>
      </c>
    </row>
    <row r="292" spans="1:4" x14ac:dyDescent="0.25">
      <c r="A292" t="str">
        <f>"02131"</f>
        <v>02131</v>
      </c>
      <c r="B292" t="s">
        <v>404</v>
      </c>
      <c r="C292" t="s">
        <v>111</v>
      </c>
      <c r="D292" t="s">
        <v>91</v>
      </c>
    </row>
    <row r="293" spans="1:4" x14ac:dyDescent="0.25">
      <c r="A293" t="str">
        <f>"02133"</f>
        <v>02133</v>
      </c>
      <c r="B293" t="s">
        <v>405</v>
      </c>
      <c r="C293" t="s">
        <v>406</v>
      </c>
      <c r="D293" t="s">
        <v>109</v>
      </c>
    </row>
    <row r="294" spans="1:4" x14ac:dyDescent="0.25">
      <c r="A294" t="str">
        <f>"02137"</f>
        <v>02137</v>
      </c>
      <c r="B294" t="s">
        <v>407</v>
      </c>
      <c r="C294" t="s">
        <v>378</v>
      </c>
      <c r="D294" t="s">
        <v>73</v>
      </c>
    </row>
    <row r="295" spans="1:4" x14ac:dyDescent="0.25">
      <c r="A295" t="str">
        <f>"02139"</f>
        <v>02139</v>
      </c>
      <c r="B295" t="s">
        <v>408</v>
      </c>
      <c r="C295" t="s">
        <v>378</v>
      </c>
      <c r="D295" t="s">
        <v>73</v>
      </c>
    </row>
    <row r="296" spans="1:4" x14ac:dyDescent="0.25">
      <c r="A296" t="str">
        <f>"02142"</f>
        <v>02142</v>
      </c>
      <c r="B296" t="s">
        <v>409</v>
      </c>
      <c r="C296" t="s">
        <v>143</v>
      </c>
      <c r="D296" t="s">
        <v>105</v>
      </c>
    </row>
    <row r="297" spans="1:4" x14ac:dyDescent="0.25">
      <c r="A297" t="str">
        <f>"02150"</f>
        <v>02150</v>
      </c>
      <c r="B297" t="s">
        <v>410</v>
      </c>
      <c r="C297" t="s">
        <v>84</v>
      </c>
      <c r="D297" t="s">
        <v>411</v>
      </c>
    </row>
    <row r="298" spans="1:4" x14ac:dyDescent="0.25">
      <c r="A298" t="str">
        <f>"02153"</f>
        <v>02153</v>
      </c>
      <c r="B298" t="s">
        <v>412</v>
      </c>
      <c r="C298" t="s">
        <v>22</v>
      </c>
      <c r="D298" t="s">
        <v>120</v>
      </c>
    </row>
    <row r="299" spans="1:4" x14ac:dyDescent="0.25">
      <c r="A299" t="str">
        <f>"02155"</f>
        <v>02155</v>
      </c>
      <c r="B299" t="s">
        <v>413</v>
      </c>
      <c r="C299" t="s">
        <v>22</v>
      </c>
      <c r="D299" t="s">
        <v>40</v>
      </c>
    </row>
    <row r="300" spans="1:4" x14ac:dyDescent="0.25">
      <c r="A300" t="str">
        <f>"02156"</f>
        <v>02156</v>
      </c>
      <c r="B300" t="s">
        <v>414</v>
      </c>
      <c r="C300" t="s">
        <v>22</v>
      </c>
      <c r="D300" t="s">
        <v>31</v>
      </c>
    </row>
    <row r="301" spans="1:4" x14ac:dyDescent="0.25">
      <c r="A301" t="str">
        <f>"02158"</f>
        <v>02158</v>
      </c>
      <c r="B301" t="s">
        <v>415</v>
      </c>
      <c r="C301" t="s">
        <v>96</v>
      </c>
      <c r="D301" t="s">
        <v>120</v>
      </c>
    </row>
    <row r="302" spans="1:4" x14ac:dyDescent="0.25">
      <c r="A302" t="str">
        <f>"02159"</f>
        <v>02159</v>
      </c>
      <c r="B302" t="s">
        <v>416</v>
      </c>
      <c r="C302" t="s">
        <v>64</v>
      </c>
      <c r="D302" t="s">
        <v>34</v>
      </c>
    </row>
    <row r="303" spans="1:4" x14ac:dyDescent="0.25">
      <c r="A303" t="str">
        <f>"02165"</f>
        <v>02165</v>
      </c>
      <c r="B303" t="s">
        <v>417</v>
      </c>
      <c r="C303" t="s">
        <v>96</v>
      </c>
      <c r="D303" t="s">
        <v>97</v>
      </c>
    </row>
    <row r="304" spans="1:4" x14ac:dyDescent="0.25">
      <c r="A304" t="str">
        <f>"02166"</f>
        <v>02166</v>
      </c>
      <c r="B304" t="s">
        <v>418</v>
      </c>
      <c r="C304" t="s">
        <v>96</v>
      </c>
      <c r="D304" t="s">
        <v>65</v>
      </c>
    </row>
    <row r="305" spans="1:4" x14ac:dyDescent="0.25">
      <c r="A305" t="str">
        <f>"02172"</f>
        <v>02172</v>
      </c>
      <c r="B305" t="s">
        <v>419</v>
      </c>
      <c r="C305" t="s">
        <v>96</v>
      </c>
      <c r="D305" t="s">
        <v>73</v>
      </c>
    </row>
    <row r="306" spans="1:4" x14ac:dyDescent="0.25">
      <c r="A306" t="str">
        <f>"02181"</f>
        <v>02181</v>
      </c>
      <c r="B306" t="s">
        <v>420</v>
      </c>
      <c r="C306" t="s">
        <v>96</v>
      </c>
      <c r="D306" t="s">
        <v>73</v>
      </c>
    </row>
    <row r="307" spans="1:4" x14ac:dyDescent="0.25">
      <c r="A307" t="str">
        <f>"02183"</f>
        <v>02183</v>
      </c>
      <c r="B307" t="s">
        <v>421</v>
      </c>
      <c r="C307" t="s">
        <v>52</v>
      </c>
      <c r="D307" t="s">
        <v>80</v>
      </c>
    </row>
    <row r="308" spans="1:4" x14ac:dyDescent="0.25">
      <c r="A308" t="str">
        <f>"02184"</f>
        <v>02184</v>
      </c>
      <c r="B308" t="s">
        <v>422</v>
      </c>
      <c r="C308" t="s">
        <v>96</v>
      </c>
      <c r="D308" t="s">
        <v>287</v>
      </c>
    </row>
    <row r="309" spans="1:4" x14ac:dyDescent="0.25">
      <c r="A309" t="str">
        <f>"02185"</f>
        <v>02185</v>
      </c>
      <c r="B309" t="s">
        <v>423</v>
      </c>
      <c r="C309" t="s">
        <v>52</v>
      </c>
      <c r="D309" t="s">
        <v>80</v>
      </c>
    </row>
    <row r="310" spans="1:4" x14ac:dyDescent="0.25">
      <c r="A310" t="str">
        <f>"02186"</f>
        <v>02186</v>
      </c>
      <c r="B310" t="s">
        <v>424</v>
      </c>
      <c r="C310" t="s">
        <v>96</v>
      </c>
      <c r="D310" t="s">
        <v>379</v>
      </c>
    </row>
    <row r="311" spans="1:4" x14ac:dyDescent="0.25">
      <c r="A311" t="str">
        <f>"02187"</f>
        <v>02187</v>
      </c>
      <c r="B311" t="s">
        <v>425</v>
      </c>
      <c r="C311" t="s">
        <v>96</v>
      </c>
      <c r="D311" t="s">
        <v>426</v>
      </c>
    </row>
    <row r="312" spans="1:4" x14ac:dyDescent="0.25">
      <c r="A312" t="str">
        <f>"02193"</f>
        <v>02193</v>
      </c>
      <c r="B312" t="s">
        <v>427</v>
      </c>
      <c r="C312" t="s">
        <v>64</v>
      </c>
      <c r="D312" t="s">
        <v>34</v>
      </c>
    </row>
    <row r="313" spans="1:4" x14ac:dyDescent="0.25">
      <c r="A313" t="str">
        <f>"02194"</f>
        <v>02194</v>
      </c>
      <c r="B313" t="s">
        <v>428</v>
      </c>
      <c r="C313" t="s">
        <v>96</v>
      </c>
      <c r="D313" t="s">
        <v>73</v>
      </c>
    </row>
    <row r="314" spans="1:4" x14ac:dyDescent="0.25">
      <c r="A314" t="str">
        <f>"02195"</f>
        <v>02195</v>
      </c>
      <c r="B314" t="s">
        <v>429</v>
      </c>
      <c r="C314" t="s">
        <v>64</v>
      </c>
      <c r="D314" t="s">
        <v>19</v>
      </c>
    </row>
    <row r="315" spans="1:4" x14ac:dyDescent="0.25">
      <c r="A315" t="str">
        <f>"02196"</f>
        <v>02196</v>
      </c>
      <c r="B315" t="s">
        <v>430</v>
      </c>
      <c r="C315" t="s">
        <v>52</v>
      </c>
      <c r="D315" t="s">
        <v>40</v>
      </c>
    </row>
    <row r="316" spans="1:4" x14ac:dyDescent="0.25">
      <c r="A316" t="str">
        <f>"02202"</f>
        <v>02202</v>
      </c>
      <c r="B316" t="s">
        <v>431</v>
      </c>
      <c r="C316" t="s">
        <v>22</v>
      </c>
      <c r="D316" t="s">
        <v>12</v>
      </c>
    </row>
    <row r="317" spans="1:4" x14ac:dyDescent="0.25">
      <c r="A317" t="str">
        <f>"02205"</f>
        <v>02205</v>
      </c>
      <c r="B317" t="s">
        <v>432</v>
      </c>
      <c r="C317" t="s">
        <v>96</v>
      </c>
      <c r="D317" t="s">
        <v>120</v>
      </c>
    </row>
    <row r="318" spans="1:4" x14ac:dyDescent="0.25">
      <c r="A318" t="str">
        <f>"02206"</f>
        <v>02206</v>
      </c>
      <c r="B318" t="s">
        <v>433</v>
      </c>
      <c r="C318" t="s">
        <v>96</v>
      </c>
      <c r="D318" t="s">
        <v>120</v>
      </c>
    </row>
    <row r="319" spans="1:4" x14ac:dyDescent="0.25">
      <c r="A319" t="str">
        <f>"02207"</f>
        <v>02207</v>
      </c>
      <c r="B319" t="s">
        <v>434</v>
      </c>
      <c r="C319" t="s">
        <v>96</v>
      </c>
      <c r="D319" t="s">
        <v>125</v>
      </c>
    </row>
    <row r="320" spans="1:4" x14ac:dyDescent="0.25">
      <c r="A320" t="str">
        <f>"02209"</f>
        <v>02209</v>
      </c>
      <c r="B320" t="s">
        <v>435</v>
      </c>
      <c r="C320" t="s">
        <v>96</v>
      </c>
      <c r="D320" t="s">
        <v>73</v>
      </c>
    </row>
    <row r="321" spans="1:4" x14ac:dyDescent="0.25">
      <c r="A321" t="str">
        <f>"02210"</f>
        <v>02210</v>
      </c>
      <c r="B321" t="s">
        <v>436</v>
      </c>
      <c r="C321" t="s">
        <v>96</v>
      </c>
      <c r="D321" t="s">
        <v>67</v>
      </c>
    </row>
    <row r="322" spans="1:4" x14ac:dyDescent="0.25">
      <c r="A322" t="str">
        <f>"02211"</f>
        <v>02211</v>
      </c>
      <c r="B322" t="s">
        <v>437</v>
      </c>
      <c r="C322" t="s">
        <v>96</v>
      </c>
      <c r="D322" t="s">
        <v>125</v>
      </c>
    </row>
    <row r="323" spans="1:4" x14ac:dyDescent="0.25">
      <c r="A323" t="str">
        <f>"02212"</f>
        <v>02212</v>
      </c>
      <c r="B323" t="s">
        <v>438</v>
      </c>
      <c r="C323" t="s">
        <v>72</v>
      </c>
      <c r="D323" t="s">
        <v>19</v>
      </c>
    </row>
    <row r="324" spans="1:4" x14ac:dyDescent="0.25">
      <c r="A324" t="str">
        <f>"02215"</f>
        <v>02215</v>
      </c>
      <c r="B324" t="s">
        <v>439</v>
      </c>
      <c r="C324" t="s">
        <v>440</v>
      </c>
      <c r="D324" t="s">
        <v>17</v>
      </c>
    </row>
    <row r="325" spans="1:4" x14ac:dyDescent="0.25">
      <c r="A325" t="str">
        <f>"02218"</f>
        <v>02218</v>
      </c>
      <c r="B325" t="s">
        <v>441</v>
      </c>
      <c r="C325" t="s">
        <v>64</v>
      </c>
      <c r="D325" t="s">
        <v>189</v>
      </c>
    </row>
    <row r="326" spans="1:4" x14ac:dyDescent="0.25">
      <c r="A326" t="str">
        <f>"02219"</f>
        <v>02219</v>
      </c>
      <c r="B326" t="s">
        <v>442</v>
      </c>
      <c r="C326" t="s">
        <v>443</v>
      </c>
      <c r="D326" t="s">
        <v>120</v>
      </c>
    </row>
    <row r="327" spans="1:4" x14ac:dyDescent="0.25">
      <c r="A327" t="str">
        <f>"02220"</f>
        <v>02220</v>
      </c>
      <c r="B327" t="s">
        <v>444</v>
      </c>
      <c r="C327" t="s">
        <v>79</v>
      </c>
      <c r="D327" t="s">
        <v>40</v>
      </c>
    </row>
    <row r="328" spans="1:4" x14ac:dyDescent="0.25">
      <c r="A328" t="str">
        <f>"02222"</f>
        <v>02222</v>
      </c>
      <c r="B328" t="s">
        <v>445</v>
      </c>
      <c r="C328" t="s">
        <v>446</v>
      </c>
      <c r="D328" t="s">
        <v>105</v>
      </c>
    </row>
    <row r="329" spans="1:4" x14ac:dyDescent="0.25">
      <c r="A329" t="str">
        <f>"02223"</f>
        <v>02223</v>
      </c>
      <c r="B329" t="s">
        <v>447</v>
      </c>
      <c r="C329" t="s">
        <v>378</v>
      </c>
      <c r="D329" t="s">
        <v>287</v>
      </c>
    </row>
    <row r="330" spans="1:4" x14ac:dyDescent="0.25">
      <c r="A330" t="str">
        <f>"02233"</f>
        <v>02233</v>
      </c>
      <c r="B330" t="s">
        <v>448</v>
      </c>
      <c r="C330" t="s">
        <v>96</v>
      </c>
      <c r="D330" t="s">
        <v>120</v>
      </c>
    </row>
    <row r="331" spans="1:4" x14ac:dyDescent="0.25">
      <c r="A331" t="str">
        <f>"02236"</f>
        <v>02236</v>
      </c>
      <c r="B331" t="s">
        <v>449</v>
      </c>
      <c r="C331" t="s">
        <v>450</v>
      </c>
      <c r="D331" t="s">
        <v>156</v>
      </c>
    </row>
    <row r="332" spans="1:4" x14ac:dyDescent="0.25">
      <c r="A332" t="str">
        <f>"02239"</f>
        <v>02239</v>
      </c>
      <c r="B332" t="s">
        <v>451</v>
      </c>
      <c r="C332" t="s">
        <v>96</v>
      </c>
      <c r="D332" t="s">
        <v>120</v>
      </c>
    </row>
    <row r="333" spans="1:4" x14ac:dyDescent="0.25">
      <c r="A333" t="str">
        <f>"02242"</f>
        <v>02242</v>
      </c>
      <c r="B333" t="s">
        <v>452</v>
      </c>
      <c r="C333" t="s">
        <v>96</v>
      </c>
      <c r="D333" t="s">
        <v>125</v>
      </c>
    </row>
    <row r="334" spans="1:4" x14ac:dyDescent="0.25">
      <c r="A334" t="str">
        <f>"02250"</f>
        <v>02250</v>
      </c>
      <c r="B334" t="s">
        <v>453</v>
      </c>
      <c r="C334" t="s">
        <v>454</v>
      </c>
      <c r="D334" t="s">
        <v>31</v>
      </c>
    </row>
    <row r="335" spans="1:4" x14ac:dyDescent="0.25">
      <c r="A335" t="str">
        <f>"02251"</f>
        <v>02251</v>
      </c>
      <c r="B335" t="s">
        <v>455</v>
      </c>
      <c r="C335" t="s">
        <v>339</v>
      </c>
      <c r="D335" t="s">
        <v>141</v>
      </c>
    </row>
    <row r="336" spans="1:4" x14ac:dyDescent="0.25">
      <c r="A336" t="str">
        <f>"02252"</f>
        <v>02252</v>
      </c>
      <c r="B336" t="s">
        <v>456</v>
      </c>
      <c r="C336" t="s">
        <v>457</v>
      </c>
      <c r="D336" t="s">
        <v>141</v>
      </c>
    </row>
    <row r="337" spans="1:4" x14ac:dyDescent="0.25">
      <c r="A337" t="str">
        <f>"02253"</f>
        <v>02253</v>
      </c>
      <c r="B337" t="s">
        <v>458</v>
      </c>
      <c r="C337" t="s">
        <v>459</v>
      </c>
      <c r="D337" t="s">
        <v>141</v>
      </c>
    </row>
    <row r="338" spans="1:4" x14ac:dyDescent="0.25">
      <c r="A338" t="str">
        <f>"02254"</f>
        <v>02254</v>
      </c>
      <c r="B338" t="s">
        <v>460</v>
      </c>
      <c r="C338" t="s">
        <v>369</v>
      </c>
      <c r="D338" t="s">
        <v>141</v>
      </c>
    </row>
    <row r="339" spans="1:4" x14ac:dyDescent="0.25">
      <c r="A339" t="str">
        <f>"02257"</f>
        <v>02257</v>
      </c>
      <c r="B339" t="s">
        <v>461</v>
      </c>
      <c r="C339" t="s">
        <v>462</v>
      </c>
      <c r="D339" t="s">
        <v>75</v>
      </c>
    </row>
    <row r="340" spans="1:4" x14ac:dyDescent="0.25">
      <c r="A340" t="str">
        <f>"02258"</f>
        <v>02258</v>
      </c>
      <c r="B340" t="s">
        <v>463</v>
      </c>
      <c r="C340" t="s">
        <v>454</v>
      </c>
      <c r="D340" t="s">
        <v>31</v>
      </c>
    </row>
    <row r="341" spans="1:4" x14ac:dyDescent="0.25">
      <c r="A341" t="str">
        <f>"02261"</f>
        <v>02261</v>
      </c>
      <c r="B341" t="s">
        <v>464</v>
      </c>
      <c r="C341" t="s">
        <v>96</v>
      </c>
      <c r="D341" t="s">
        <v>287</v>
      </c>
    </row>
    <row r="342" spans="1:4" x14ac:dyDescent="0.25">
      <c r="A342" t="str">
        <f>"02262"</f>
        <v>02262</v>
      </c>
      <c r="B342" t="s">
        <v>465</v>
      </c>
      <c r="C342" t="s">
        <v>466</v>
      </c>
      <c r="D342" t="s">
        <v>73</v>
      </c>
    </row>
    <row r="343" spans="1:4" x14ac:dyDescent="0.25">
      <c r="A343" t="str">
        <f>"02263"</f>
        <v>02263</v>
      </c>
      <c r="B343" t="s">
        <v>467</v>
      </c>
      <c r="C343" t="s">
        <v>52</v>
      </c>
      <c r="D343" t="s">
        <v>6</v>
      </c>
    </row>
    <row r="344" spans="1:4" x14ac:dyDescent="0.25">
      <c r="A344" t="str">
        <f>"02266"</f>
        <v>02266</v>
      </c>
      <c r="B344" t="s">
        <v>468</v>
      </c>
      <c r="C344" t="s">
        <v>22</v>
      </c>
      <c r="D344" t="s">
        <v>469</v>
      </c>
    </row>
    <row r="345" spans="1:4" x14ac:dyDescent="0.25">
      <c r="A345" t="str">
        <f>"02268"</f>
        <v>02268</v>
      </c>
      <c r="B345" t="s">
        <v>470</v>
      </c>
      <c r="C345" t="s">
        <v>258</v>
      </c>
      <c r="D345" t="s">
        <v>75</v>
      </c>
    </row>
    <row r="346" spans="1:4" x14ac:dyDescent="0.25">
      <c r="A346" t="str">
        <f>"02274"</f>
        <v>02274</v>
      </c>
      <c r="B346" t="s">
        <v>471</v>
      </c>
      <c r="C346" t="s">
        <v>22</v>
      </c>
      <c r="D346" t="s">
        <v>17</v>
      </c>
    </row>
    <row r="347" spans="1:4" x14ac:dyDescent="0.25">
      <c r="A347" t="str">
        <f>"02285"</f>
        <v>02285</v>
      </c>
      <c r="B347" t="s">
        <v>472</v>
      </c>
      <c r="C347" t="s">
        <v>148</v>
      </c>
      <c r="D347" t="s">
        <v>149</v>
      </c>
    </row>
    <row r="348" spans="1:4" x14ac:dyDescent="0.25">
      <c r="A348" t="str">
        <f>"02286"</f>
        <v>02286</v>
      </c>
      <c r="B348" t="s">
        <v>473</v>
      </c>
      <c r="C348" t="s">
        <v>96</v>
      </c>
      <c r="D348" t="s">
        <v>122</v>
      </c>
    </row>
    <row r="349" spans="1:4" x14ac:dyDescent="0.25">
      <c r="A349" t="str">
        <f>"02287"</f>
        <v>02287</v>
      </c>
      <c r="B349" t="s">
        <v>474</v>
      </c>
      <c r="C349" t="s">
        <v>258</v>
      </c>
      <c r="D349" t="s">
        <v>75</v>
      </c>
    </row>
    <row r="350" spans="1:4" x14ac:dyDescent="0.25">
      <c r="A350" t="str">
        <f>"02288"</f>
        <v>02288</v>
      </c>
      <c r="B350" t="s">
        <v>475</v>
      </c>
      <c r="C350" t="s">
        <v>258</v>
      </c>
      <c r="D350" t="s">
        <v>75</v>
      </c>
    </row>
    <row r="351" spans="1:4" x14ac:dyDescent="0.25">
      <c r="A351" t="str">
        <f>"02289"</f>
        <v>02289</v>
      </c>
      <c r="B351" t="s">
        <v>476</v>
      </c>
      <c r="C351" t="s">
        <v>477</v>
      </c>
      <c r="D351" t="s">
        <v>478</v>
      </c>
    </row>
    <row r="352" spans="1:4" x14ac:dyDescent="0.25">
      <c r="A352" t="str">
        <f>"02290"</f>
        <v>02290</v>
      </c>
      <c r="B352" t="s">
        <v>479</v>
      </c>
      <c r="C352" t="s">
        <v>96</v>
      </c>
      <c r="D352" t="s">
        <v>73</v>
      </c>
    </row>
    <row r="353" spans="1:4" x14ac:dyDescent="0.25">
      <c r="A353" t="str">
        <f>"02292"</f>
        <v>02292</v>
      </c>
      <c r="B353" t="s">
        <v>480</v>
      </c>
      <c r="C353" t="s">
        <v>481</v>
      </c>
      <c r="D353" t="s">
        <v>105</v>
      </c>
    </row>
    <row r="354" spans="1:4" x14ac:dyDescent="0.25">
      <c r="A354" t="str">
        <f>"02294"</f>
        <v>02294</v>
      </c>
      <c r="B354" t="s">
        <v>482</v>
      </c>
      <c r="C354" t="s">
        <v>96</v>
      </c>
      <c r="D354" t="s">
        <v>40</v>
      </c>
    </row>
    <row r="355" spans="1:4" x14ac:dyDescent="0.25">
      <c r="A355" t="str">
        <f>"02297"</f>
        <v>02297</v>
      </c>
      <c r="B355" t="s">
        <v>483</v>
      </c>
      <c r="C355" t="s">
        <v>96</v>
      </c>
      <c r="D355" t="s">
        <v>99</v>
      </c>
    </row>
    <row r="356" spans="1:4" x14ac:dyDescent="0.25">
      <c r="A356" t="str">
        <f>"02298"</f>
        <v>02298</v>
      </c>
      <c r="B356" t="s">
        <v>484</v>
      </c>
      <c r="C356" t="s">
        <v>96</v>
      </c>
      <c r="D356" t="s">
        <v>122</v>
      </c>
    </row>
    <row r="357" spans="1:4" x14ac:dyDescent="0.25">
      <c r="A357" t="str">
        <f>"02300"</f>
        <v>02300</v>
      </c>
      <c r="B357" t="s">
        <v>485</v>
      </c>
      <c r="C357" t="s">
        <v>96</v>
      </c>
      <c r="D357" t="s">
        <v>99</v>
      </c>
    </row>
    <row r="358" spans="1:4" x14ac:dyDescent="0.25">
      <c r="A358" t="str">
        <f>"02301"</f>
        <v>02301</v>
      </c>
      <c r="B358" t="s">
        <v>486</v>
      </c>
      <c r="C358" t="s">
        <v>96</v>
      </c>
      <c r="D358" t="s">
        <v>80</v>
      </c>
    </row>
    <row r="359" spans="1:4" x14ac:dyDescent="0.25">
      <c r="A359" t="str">
        <f>"02312"</f>
        <v>02312</v>
      </c>
      <c r="B359" t="s">
        <v>487</v>
      </c>
      <c r="C359" t="s">
        <v>96</v>
      </c>
      <c r="D359" t="s">
        <v>125</v>
      </c>
    </row>
    <row r="360" spans="1:4" x14ac:dyDescent="0.25">
      <c r="A360" t="str">
        <f>"02314"</f>
        <v>02314</v>
      </c>
      <c r="B360" t="s">
        <v>488</v>
      </c>
      <c r="C360" t="s">
        <v>489</v>
      </c>
      <c r="D360" t="s">
        <v>75</v>
      </c>
    </row>
    <row r="361" spans="1:4" x14ac:dyDescent="0.25">
      <c r="A361" t="str">
        <f>"02315"</f>
        <v>02315</v>
      </c>
      <c r="B361" t="s">
        <v>490</v>
      </c>
      <c r="C361" t="s">
        <v>96</v>
      </c>
      <c r="D361" t="s">
        <v>122</v>
      </c>
    </row>
    <row r="362" spans="1:4" x14ac:dyDescent="0.25">
      <c r="A362" t="str">
        <f>"02317"</f>
        <v>02317</v>
      </c>
      <c r="B362" t="s">
        <v>491</v>
      </c>
      <c r="C362" t="s">
        <v>44</v>
      </c>
      <c r="D362" t="s">
        <v>287</v>
      </c>
    </row>
    <row r="363" spans="1:4" x14ac:dyDescent="0.25">
      <c r="A363" t="str">
        <f>"02318"</f>
        <v>02318</v>
      </c>
      <c r="B363" t="s">
        <v>492</v>
      </c>
      <c r="C363" t="s">
        <v>96</v>
      </c>
      <c r="D363" t="s">
        <v>73</v>
      </c>
    </row>
    <row r="364" spans="1:4" x14ac:dyDescent="0.25">
      <c r="A364" t="str">
        <f>"02320"</f>
        <v>02320</v>
      </c>
      <c r="B364" t="s">
        <v>493</v>
      </c>
      <c r="C364" t="s">
        <v>64</v>
      </c>
      <c r="D364" t="s">
        <v>40</v>
      </c>
    </row>
    <row r="365" spans="1:4" x14ac:dyDescent="0.25">
      <c r="A365" t="str">
        <f>"02321"</f>
        <v>02321</v>
      </c>
      <c r="B365" t="s">
        <v>494</v>
      </c>
      <c r="C365" t="s">
        <v>96</v>
      </c>
      <c r="D365" t="s">
        <v>97</v>
      </c>
    </row>
    <row r="366" spans="1:4" x14ac:dyDescent="0.25">
      <c r="A366" t="str">
        <f>"02323"</f>
        <v>02323</v>
      </c>
      <c r="B366" t="s">
        <v>495</v>
      </c>
      <c r="C366" t="s">
        <v>33</v>
      </c>
      <c r="D366" t="s">
        <v>17</v>
      </c>
    </row>
    <row r="367" spans="1:4" x14ac:dyDescent="0.25">
      <c r="A367" t="str">
        <f>"02324"</f>
        <v>02324</v>
      </c>
      <c r="B367" t="s">
        <v>496</v>
      </c>
      <c r="C367" t="s">
        <v>497</v>
      </c>
      <c r="D367" t="s">
        <v>65</v>
      </c>
    </row>
    <row r="368" spans="1:4" x14ac:dyDescent="0.25">
      <c r="A368" t="str">
        <f>"02329"</f>
        <v>02329</v>
      </c>
      <c r="B368" t="s">
        <v>498</v>
      </c>
      <c r="C368" t="s">
        <v>44</v>
      </c>
      <c r="D368" t="s">
        <v>287</v>
      </c>
    </row>
    <row r="369" spans="1:4" x14ac:dyDescent="0.25">
      <c r="A369" t="str">
        <f>"02336"</f>
        <v>02336</v>
      </c>
      <c r="B369" t="s">
        <v>499</v>
      </c>
      <c r="C369" t="s">
        <v>96</v>
      </c>
      <c r="D369" t="s">
        <v>99</v>
      </c>
    </row>
    <row r="370" spans="1:4" x14ac:dyDescent="0.25">
      <c r="A370" t="str">
        <f>"02338"</f>
        <v>02338</v>
      </c>
      <c r="B370" t="s">
        <v>500</v>
      </c>
      <c r="C370" t="s">
        <v>96</v>
      </c>
      <c r="D370" t="s">
        <v>65</v>
      </c>
    </row>
    <row r="371" spans="1:4" x14ac:dyDescent="0.25">
      <c r="A371" t="str">
        <f>"02339"</f>
        <v>02339</v>
      </c>
      <c r="B371" t="s">
        <v>501</v>
      </c>
      <c r="C371" t="s">
        <v>96</v>
      </c>
      <c r="D371" t="s">
        <v>99</v>
      </c>
    </row>
    <row r="372" spans="1:4" x14ac:dyDescent="0.25">
      <c r="A372" t="str">
        <f>"02341"</f>
        <v>02341</v>
      </c>
      <c r="B372" t="s">
        <v>502</v>
      </c>
      <c r="C372" t="s">
        <v>96</v>
      </c>
      <c r="D372" t="s">
        <v>73</v>
      </c>
    </row>
    <row r="373" spans="1:4" x14ac:dyDescent="0.25">
      <c r="A373" t="str">
        <f>"02342"</f>
        <v>02342</v>
      </c>
      <c r="B373" t="s">
        <v>503</v>
      </c>
      <c r="C373" t="s">
        <v>44</v>
      </c>
      <c r="D373" t="s">
        <v>73</v>
      </c>
    </row>
    <row r="374" spans="1:4" x14ac:dyDescent="0.25">
      <c r="A374" t="str">
        <f>"02343"</f>
        <v>02343</v>
      </c>
      <c r="B374" t="s">
        <v>504</v>
      </c>
      <c r="C374" t="s">
        <v>96</v>
      </c>
      <c r="D374" t="s">
        <v>99</v>
      </c>
    </row>
    <row r="375" spans="1:4" x14ac:dyDescent="0.25">
      <c r="A375" t="str">
        <f>"02346"</f>
        <v>02346</v>
      </c>
      <c r="B375" t="s">
        <v>505</v>
      </c>
      <c r="C375" t="s">
        <v>96</v>
      </c>
      <c r="D375" t="s">
        <v>19</v>
      </c>
    </row>
    <row r="376" spans="1:4" x14ac:dyDescent="0.25">
      <c r="A376" t="str">
        <f>"02347"</f>
        <v>02347</v>
      </c>
      <c r="B376" t="s">
        <v>506</v>
      </c>
      <c r="C376" t="s">
        <v>96</v>
      </c>
      <c r="D376" t="s">
        <v>120</v>
      </c>
    </row>
    <row r="377" spans="1:4" x14ac:dyDescent="0.25">
      <c r="A377" t="str">
        <f>"02350"</f>
        <v>02350</v>
      </c>
      <c r="B377" t="s">
        <v>507</v>
      </c>
      <c r="C377" t="s">
        <v>508</v>
      </c>
      <c r="D377" t="s">
        <v>6</v>
      </c>
    </row>
    <row r="378" spans="1:4" x14ac:dyDescent="0.25">
      <c r="A378" t="str">
        <f>"02351"</f>
        <v>02351</v>
      </c>
      <c r="B378" t="s">
        <v>509</v>
      </c>
      <c r="C378" t="s">
        <v>510</v>
      </c>
      <c r="D378" t="s">
        <v>75</v>
      </c>
    </row>
    <row r="379" spans="1:4" x14ac:dyDescent="0.25">
      <c r="A379" t="str">
        <f>"02352"</f>
        <v>02352</v>
      </c>
      <c r="B379" t="s">
        <v>511</v>
      </c>
      <c r="C379" t="s">
        <v>378</v>
      </c>
      <c r="D379" t="s">
        <v>287</v>
      </c>
    </row>
    <row r="380" spans="1:4" x14ac:dyDescent="0.25">
      <c r="A380" t="str">
        <f>"02353"</f>
        <v>02353</v>
      </c>
      <c r="B380" t="s">
        <v>512</v>
      </c>
      <c r="C380" t="s">
        <v>64</v>
      </c>
      <c r="D380" t="s">
        <v>513</v>
      </c>
    </row>
    <row r="381" spans="1:4" x14ac:dyDescent="0.25">
      <c r="A381" t="str">
        <f>"02355"</f>
        <v>02355</v>
      </c>
      <c r="B381" t="s">
        <v>514</v>
      </c>
      <c r="C381" t="s">
        <v>5</v>
      </c>
      <c r="D381" t="s">
        <v>40</v>
      </c>
    </row>
    <row r="382" spans="1:4" x14ac:dyDescent="0.25">
      <c r="A382" t="str">
        <f>"02356"</f>
        <v>02356</v>
      </c>
      <c r="B382" t="s">
        <v>515</v>
      </c>
      <c r="C382" t="s">
        <v>96</v>
      </c>
      <c r="D382" t="s">
        <v>125</v>
      </c>
    </row>
    <row r="383" spans="1:4" x14ac:dyDescent="0.25">
      <c r="A383" t="str">
        <f>"02357"</f>
        <v>02357</v>
      </c>
      <c r="B383" t="s">
        <v>516</v>
      </c>
      <c r="C383" t="s">
        <v>96</v>
      </c>
      <c r="D383" t="s">
        <v>120</v>
      </c>
    </row>
    <row r="384" spans="1:4" x14ac:dyDescent="0.25">
      <c r="A384" t="str">
        <f>"02359"</f>
        <v>02359</v>
      </c>
      <c r="B384" t="s">
        <v>517</v>
      </c>
      <c r="C384" t="s">
        <v>518</v>
      </c>
      <c r="D384" t="s">
        <v>122</v>
      </c>
    </row>
    <row r="385" spans="1:4" x14ac:dyDescent="0.25">
      <c r="A385" t="str">
        <f>"02362"</f>
        <v>02362</v>
      </c>
      <c r="B385" t="s">
        <v>519</v>
      </c>
      <c r="C385" t="s">
        <v>520</v>
      </c>
      <c r="D385" t="s">
        <v>105</v>
      </c>
    </row>
    <row r="386" spans="1:4" x14ac:dyDescent="0.25">
      <c r="A386" t="str">
        <f>"02365"</f>
        <v>02365</v>
      </c>
      <c r="B386" t="s">
        <v>521</v>
      </c>
      <c r="C386" t="s">
        <v>22</v>
      </c>
      <c r="D386" t="s">
        <v>23</v>
      </c>
    </row>
    <row r="387" spans="1:4" x14ac:dyDescent="0.25">
      <c r="A387" t="str">
        <f>"02367"</f>
        <v>02367</v>
      </c>
      <c r="B387" t="s">
        <v>522</v>
      </c>
      <c r="C387" t="s">
        <v>324</v>
      </c>
      <c r="D387" t="s">
        <v>109</v>
      </c>
    </row>
    <row r="388" spans="1:4" x14ac:dyDescent="0.25">
      <c r="A388" t="str">
        <f>"02369"</f>
        <v>02369</v>
      </c>
      <c r="B388" t="s">
        <v>523</v>
      </c>
      <c r="C388" t="s">
        <v>64</v>
      </c>
      <c r="D388" t="s">
        <v>135</v>
      </c>
    </row>
    <row r="389" spans="1:4" x14ac:dyDescent="0.25">
      <c r="A389" t="str">
        <f>"02374"</f>
        <v>02374</v>
      </c>
      <c r="B389" t="s">
        <v>524</v>
      </c>
      <c r="C389" t="s">
        <v>175</v>
      </c>
      <c r="D389" t="s">
        <v>80</v>
      </c>
    </row>
    <row r="390" spans="1:4" x14ac:dyDescent="0.25">
      <c r="A390" t="str">
        <f>"02375"</f>
        <v>02375</v>
      </c>
      <c r="B390" t="s">
        <v>525</v>
      </c>
      <c r="C390" t="s">
        <v>64</v>
      </c>
      <c r="D390" t="s">
        <v>34</v>
      </c>
    </row>
    <row r="391" spans="1:4" x14ac:dyDescent="0.25">
      <c r="A391" t="str">
        <f>"02376"</f>
        <v>02376</v>
      </c>
      <c r="B391" t="s">
        <v>526</v>
      </c>
      <c r="C391" t="s">
        <v>378</v>
      </c>
      <c r="D391" t="s">
        <v>12</v>
      </c>
    </row>
    <row r="392" spans="1:4" x14ac:dyDescent="0.25">
      <c r="A392" t="str">
        <f>"02377"</f>
        <v>02377</v>
      </c>
      <c r="B392" t="s">
        <v>527</v>
      </c>
      <c r="C392" t="s">
        <v>64</v>
      </c>
      <c r="D392" t="s">
        <v>75</v>
      </c>
    </row>
    <row r="393" spans="1:4" x14ac:dyDescent="0.25">
      <c r="A393" t="str">
        <f>"02382"</f>
        <v>02382</v>
      </c>
      <c r="B393" t="s">
        <v>528</v>
      </c>
      <c r="C393" t="s">
        <v>64</v>
      </c>
      <c r="D393" t="s">
        <v>97</v>
      </c>
    </row>
    <row r="394" spans="1:4" x14ac:dyDescent="0.25">
      <c r="A394" t="str">
        <f>"02383"</f>
        <v>02383</v>
      </c>
      <c r="B394" t="s">
        <v>529</v>
      </c>
      <c r="C394" t="s">
        <v>52</v>
      </c>
      <c r="D394" t="s">
        <v>133</v>
      </c>
    </row>
    <row r="395" spans="1:4" x14ac:dyDescent="0.25">
      <c r="A395" t="str">
        <f>"02384"</f>
        <v>02384</v>
      </c>
      <c r="B395" t="s">
        <v>530</v>
      </c>
      <c r="C395" t="s">
        <v>378</v>
      </c>
      <c r="D395" t="s">
        <v>287</v>
      </c>
    </row>
    <row r="396" spans="1:4" x14ac:dyDescent="0.25">
      <c r="A396" t="str">
        <f>"02386"</f>
        <v>02386</v>
      </c>
      <c r="B396" t="s">
        <v>531</v>
      </c>
      <c r="C396" t="s">
        <v>96</v>
      </c>
      <c r="D396" t="s">
        <v>125</v>
      </c>
    </row>
    <row r="397" spans="1:4" x14ac:dyDescent="0.25">
      <c r="A397" t="str">
        <f>"02389"</f>
        <v>02389</v>
      </c>
      <c r="B397" t="s">
        <v>532</v>
      </c>
      <c r="C397" t="s">
        <v>533</v>
      </c>
      <c r="D397" t="s">
        <v>58</v>
      </c>
    </row>
    <row r="398" spans="1:4" x14ac:dyDescent="0.25">
      <c r="A398" t="str">
        <f>"02390"</f>
        <v>02390</v>
      </c>
      <c r="B398" t="s">
        <v>534</v>
      </c>
      <c r="C398" t="s">
        <v>96</v>
      </c>
      <c r="D398" t="s">
        <v>122</v>
      </c>
    </row>
    <row r="399" spans="1:4" x14ac:dyDescent="0.25">
      <c r="A399" t="str">
        <f>"02393"</f>
        <v>02393</v>
      </c>
      <c r="B399" t="s">
        <v>535</v>
      </c>
      <c r="C399" t="s">
        <v>536</v>
      </c>
      <c r="D399" t="s">
        <v>513</v>
      </c>
    </row>
    <row r="400" spans="1:4" x14ac:dyDescent="0.25">
      <c r="A400" t="str">
        <f>"02394"</f>
        <v>02394</v>
      </c>
      <c r="B400" t="s">
        <v>537</v>
      </c>
      <c r="C400" t="s">
        <v>72</v>
      </c>
      <c r="D400" t="s">
        <v>73</v>
      </c>
    </row>
    <row r="401" spans="1:4" x14ac:dyDescent="0.25">
      <c r="A401" t="str">
        <f>"02395"</f>
        <v>02395</v>
      </c>
      <c r="B401" t="s">
        <v>538</v>
      </c>
      <c r="C401" t="s">
        <v>72</v>
      </c>
      <c r="D401" t="s">
        <v>73</v>
      </c>
    </row>
    <row r="402" spans="1:4" x14ac:dyDescent="0.25">
      <c r="A402" t="str">
        <f>"02396"</f>
        <v>02396</v>
      </c>
      <c r="B402" t="s">
        <v>539</v>
      </c>
      <c r="C402" t="s">
        <v>96</v>
      </c>
      <c r="D402" t="s">
        <v>73</v>
      </c>
    </row>
    <row r="403" spans="1:4" x14ac:dyDescent="0.25">
      <c r="A403" t="str">
        <f>"02397"</f>
        <v>02397</v>
      </c>
      <c r="B403" t="s">
        <v>540</v>
      </c>
      <c r="C403" t="s">
        <v>96</v>
      </c>
      <c r="D403" t="s">
        <v>67</v>
      </c>
    </row>
    <row r="404" spans="1:4" x14ac:dyDescent="0.25">
      <c r="A404" t="str">
        <f>"02398"</f>
        <v>02398</v>
      </c>
      <c r="B404" t="s">
        <v>541</v>
      </c>
      <c r="C404" t="s">
        <v>96</v>
      </c>
      <c r="D404" t="s">
        <v>122</v>
      </c>
    </row>
    <row r="405" spans="1:4" x14ac:dyDescent="0.25">
      <c r="A405" t="str">
        <f>"02399"</f>
        <v>02399</v>
      </c>
      <c r="B405" t="s">
        <v>542</v>
      </c>
      <c r="C405" t="s">
        <v>543</v>
      </c>
      <c r="D405" t="s">
        <v>120</v>
      </c>
    </row>
    <row r="406" spans="1:4" x14ac:dyDescent="0.25">
      <c r="A406" t="str">
        <f>"02400"</f>
        <v>02400</v>
      </c>
      <c r="B406" t="s">
        <v>544</v>
      </c>
      <c r="C406" t="s">
        <v>96</v>
      </c>
      <c r="D406" t="s">
        <v>67</v>
      </c>
    </row>
    <row r="407" spans="1:4" x14ac:dyDescent="0.25">
      <c r="A407" t="str">
        <f>"02401"</f>
        <v>02401</v>
      </c>
      <c r="B407" t="s">
        <v>545</v>
      </c>
      <c r="C407" t="s">
        <v>111</v>
      </c>
      <c r="D407" t="s">
        <v>67</v>
      </c>
    </row>
    <row r="408" spans="1:4" x14ac:dyDescent="0.25">
      <c r="A408" t="str">
        <f>"02402"</f>
        <v>02402</v>
      </c>
      <c r="B408" t="s">
        <v>546</v>
      </c>
      <c r="C408" t="s">
        <v>33</v>
      </c>
      <c r="D408" t="s">
        <v>478</v>
      </c>
    </row>
    <row r="409" spans="1:4" x14ac:dyDescent="0.25">
      <c r="A409" t="str">
        <f>"02404"</f>
        <v>02404</v>
      </c>
      <c r="B409" t="s">
        <v>547</v>
      </c>
      <c r="C409" t="s">
        <v>548</v>
      </c>
      <c r="D409" t="s">
        <v>75</v>
      </c>
    </row>
    <row r="410" spans="1:4" x14ac:dyDescent="0.25">
      <c r="A410" t="str">
        <f>"02405"</f>
        <v>02405</v>
      </c>
      <c r="B410" t="s">
        <v>549</v>
      </c>
      <c r="C410" t="s">
        <v>443</v>
      </c>
      <c r="D410" t="s">
        <v>120</v>
      </c>
    </row>
    <row r="411" spans="1:4" x14ac:dyDescent="0.25">
      <c r="A411" t="str">
        <f>"02406"</f>
        <v>02406</v>
      </c>
      <c r="B411" t="s">
        <v>550</v>
      </c>
      <c r="C411" t="s">
        <v>551</v>
      </c>
      <c r="D411" t="s">
        <v>61</v>
      </c>
    </row>
    <row r="412" spans="1:4" x14ac:dyDescent="0.25">
      <c r="A412" t="str">
        <f>"02407"</f>
        <v>02407</v>
      </c>
      <c r="B412" t="s">
        <v>552</v>
      </c>
      <c r="C412" t="s">
        <v>64</v>
      </c>
      <c r="D412" t="s">
        <v>362</v>
      </c>
    </row>
    <row r="413" spans="1:4" x14ac:dyDescent="0.25">
      <c r="A413" t="str">
        <f>"02410"</f>
        <v>02410</v>
      </c>
      <c r="B413" t="s">
        <v>553</v>
      </c>
      <c r="C413" t="s">
        <v>96</v>
      </c>
      <c r="D413" t="s">
        <v>6</v>
      </c>
    </row>
    <row r="414" spans="1:4" x14ac:dyDescent="0.25">
      <c r="A414" t="str">
        <f>"02413"</f>
        <v>02413</v>
      </c>
      <c r="B414" t="s">
        <v>554</v>
      </c>
      <c r="C414" t="s">
        <v>64</v>
      </c>
      <c r="D414" t="s">
        <v>73</v>
      </c>
    </row>
    <row r="415" spans="1:4" x14ac:dyDescent="0.25">
      <c r="A415" t="str">
        <f>"02414"</f>
        <v>02414</v>
      </c>
      <c r="B415" t="s">
        <v>555</v>
      </c>
      <c r="C415" t="s">
        <v>96</v>
      </c>
      <c r="D415" t="s">
        <v>99</v>
      </c>
    </row>
    <row r="416" spans="1:4" x14ac:dyDescent="0.25">
      <c r="A416" t="str">
        <f>"02415"</f>
        <v>02415</v>
      </c>
      <c r="B416" t="s">
        <v>556</v>
      </c>
      <c r="C416" t="s">
        <v>44</v>
      </c>
      <c r="D416" t="s">
        <v>287</v>
      </c>
    </row>
    <row r="417" spans="1:4" x14ac:dyDescent="0.25">
      <c r="A417" t="str">
        <f>"02418"</f>
        <v>02418</v>
      </c>
      <c r="B417" t="s">
        <v>557</v>
      </c>
      <c r="C417" t="s">
        <v>96</v>
      </c>
      <c r="D417" t="s">
        <v>122</v>
      </c>
    </row>
    <row r="418" spans="1:4" x14ac:dyDescent="0.25">
      <c r="A418" t="str">
        <f>"02419"</f>
        <v>02419</v>
      </c>
      <c r="B418" t="s">
        <v>558</v>
      </c>
      <c r="C418" t="s">
        <v>96</v>
      </c>
      <c r="D418" t="s">
        <v>287</v>
      </c>
    </row>
    <row r="419" spans="1:4" x14ac:dyDescent="0.25">
      <c r="A419" t="str">
        <f>"02420"</f>
        <v>02420</v>
      </c>
      <c r="B419" t="s">
        <v>559</v>
      </c>
      <c r="C419" t="s">
        <v>96</v>
      </c>
      <c r="D419" t="s">
        <v>122</v>
      </c>
    </row>
    <row r="420" spans="1:4" x14ac:dyDescent="0.25">
      <c r="A420" t="str">
        <f>"02423"</f>
        <v>02423</v>
      </c>
      <c r="B420" t="s">
        <v>560</v>
      </c>
      <c r="C420" t="s">
        <v>561</v>
      </c>
      <c r="D420" t="s">
        <v>6</v>
      </c>
    </row>
    <row r="421" spans="1:4" x14ac:dyDescent="0.25">
      <c r="A421" t="str">
        <f>"02424"</f>
        <v>02424</v>
      </c>
      <c r="B421" t="s">
        <v>562</v>
      </c>
      <c r="C421" t="s">
        <v>96</v>
      </c>
      <c r="D421" t="s">
        <v>122</v>
      </c>
    </row>
    <row r="422" spans="1:4" x14ac:dyDescent="0.25">
      <c r="A422" t="str">
        <f>"02425"</f>
        <v>02425</v>
      </c>
      <c r="B422" t="s">
        <v>563</v>
      </c>
      <c r="C422" t="s">
        <v>72</v>
      </c>
      <c r="D422" t="s">
        <v>120</v>
      </c>
    </row>
    <row r="423" spans="1:4" x14ac:dyDescent="0.25">
      <c r="A423" t="str">
        <f>"02426"</f>
        <v>02426</v>
      </c>
      <c r="B423" t="s">
        <v>564</v>
      </c>
      <c r="C423" t="s">
        <v>96</v>
      </c>
      <c r="D423" t="s">
        <v>19</v>
      </c>
    </row>
    <row r="424" spans="1:4" x14ac:dyDescent="0.25">
      <c r="A424" t="str">
        <f>"02428"</f>
        <v>02428</v>
      </c>
      <c r="B424" t="s">
        <v>565</v>
      </c>
      <c r="C424" t="s">
        <v>72</v>
      </c>
      <c r="D424" t="s">
        <v>120</v>
      </c>
    </row>
    <row r="425" spans="1:4" x14ac:dyDescent="0.25">
      <c r="A425" t="str">
        <f>"02433"</f>
        <v>02433</v>
      </c>
      <c r="B425" t="s">
        <v>566</v>
      </c>
      <c r="C425" t="s">
        <v>96</v>
      </c>
      <c r="D425" t="s">
        <v>73</v>
      </c>
    </row>
    <row r="426" spans="1:4" x14ac:dyDescent="0.25">
      <c r="A426" t="str">
        <f>"02434"</f>
        <v>02434</v>
      </c>
      <c r="B426" t="s">
        <v>567</v>
      </c>
      <c r="C426" t="s">
        <v>72</v>
      </c>
      <c r="D426" t="s">
        <v>379</v>
      </c>
    </row>
    <row r="427" spans="1:4" x14ac:dyDescent="0.25">
      <c r="A427" t="str">
        <f>"02441"</f>
        <v>02441</v>
      </c>
      <c r="B427" t="s">
        <v>568</v>
      </c>
      <c r="C427" t="s">
        <v>44</v>
      </c>
      <c r="D427" t="s">
        <v>287</v>
      </c>
    </row>
    <row r="428" spans="1:4" x14ac:dyDescent="0.25">
      <c r="A428" t="str">
        <f>"02442"</f>
        <v>02442</v>
      </c>
      <c r="B428" t="s">
        <v>569</v>
      </c>
      <c r="C428" t="s">
        <v>96</v>
      </c>
      <c r="D428" t="s">
        <v>149</v>
      </c>
    </row>
    <row r="429" spans="1:4" x14ac:dyDescent="0.25">
      <c r="A429" t="str">
        <f>"02443"</f>
        <v>02443</v>
      </c>
      <c r="B429" t="s">
        <v>570</v>
      </c>
      <c r="C429" t="s">
        <v>64</v>
      </c>
      <c r="D429" t="s">
        <v>17</v>
      </c>
    </row>
    <row r="430" spans="1:4" x14ac:dyDescent="0.25">
      <c r="A430" t="str">
        <f>"02444"</f>
        <v>02444</v>
      </c>
      <c r="B430" t="s">
        <v>571</v>
      </c>
      <c r="C430" t="s">
        <v>572</v>
      </c>
      <c r="D430" t="s">
        <v>118</v>
      </c>
    </row>
    <row r="431" spans="1:4" x14ac:dyDescent="0.25">
      <c r="A431" t="str">
        <f>"02445"</f>
        <v>02445</v>
      </c>
      <c r="B431" t="s">
        <v>573</v>
      </c>
      <c r="C431" t="s">
        <v>96</v>
      </c>
      <c r="D431" t="s">
        <v>19</v>
      </c>
    </row>
    <row r="432" spans="1:4" x14ac:dyDescent="0.25">
      <c r="A432" t="str">
        <f>"02446"</f>
        <v>02446</v>
      </c>
      <c r="B432" t="s">
        <v>574</v>
      </c>
      <c r="C432" t="s">
        <v>96</v>
      </c>
      <c r="D432" t="s">
        <v>120</v>
      </c>
    </row>
    <row r="433" spans="1:4" x14ac:dyDescent="0.25">
      <c r="A433" t="str">
        <f>"02449"</f>
        <v>02449</v>
      </c>
      <c r="B433" t="s">
        <v>575</v>
      </c>
      <c r="C433" t="s">
        <v>576</v>
      </c>
      <c r="D433" t="s">
        <v>17</v>
      </c>
    </row>
    <row r="434" spans="1:4" x14ac:dyDescent="0.25">
      <c r="A434" t="str">
        <f>"02450"</f>
        <v>02450</v>
      </c>
      <c r="B434" t="s">
        <v>577</v>
      </c>
      <c r="C434" t="s">
        <v>79</v>
      </c>
      <c r="D434" t="s">
        <v>75</v>
      </c>
    </row>
    <row r="435" spans="1:4" x14ac:dyDescent="0.25">
      <c r="A435" t="str">
        <f>"02451"</f>
        <v>02451</v>
      </c>
      <c r="B435" t="s">
        <v>578</v>
      </c>
      <c r="C435" t="s">
        <v>72</v>
      </c>
      <c r="D435" t="s">
        <v>73</v>
      </c>
    </row>
    <row r="436" spans="1:4" x14ac:dyDescent="0.25">
      <c r="A436" t="str">
        <f>"02454"</f>
        <v>02454</v>
      </c>
      <c r="B436" t="s">
        <v>579</v>
      </c>
      <c r="C436" t="s">
        <v>96</v>
      </c>
      <c r="D436" t="s">
        <v>149</v>
      </c>
    </row>
    <row r="437" spans="1:4" x14ac:dyDescent="0.25">
      <c r="A437" t="str">
        <f>"02456"</f>
        <v>02456</v>
      </c>
      <c r="B437" t="s">
        <v>580</v>
      </c>
      <c r="C437" t="s">
        <v>22</v>
      </c>
      <c r="D437" t="s">
        <v>141</v>
      </c>
    </row>
    <row r="438" spans="1:4" x14ac:dyDescent="0.25">
      <c r="A438" t="str">
        <f>"02459"</f>
        <v>02459</v>
      </c>
      <c r="B438" t="s">
        <v>581</v>
      </c>
      <c r="C438" t="s">
        <v>22</v>
      </c>
      <c r="D438" t="s">
        <v>582</v>
      </c>
    </row>
    <row r="439" spans="1:4" x14ac:dyDescent="0.25">
      <c r="A439" t="str">
        <f>"02460"</f>
        <v>02460</v>
      </c>
      <c r="B439" t="s">
        <v>583</v>
      </c>
      <c r="C439" t="s">
        <v>22</v>
      </c>
      <c r="D439" t="s">
        <v>584</v>
      </c>
    </row>
    <row r="440" spans="1:4" x14ac:dyDescent="0.25">
      <c r="A440" t="str">
        <f>"02461"</f>
        <v>02461</v>
      </c>
      <c r="B440" t="s">
        <v>585</v>
      </c>
      <c r="C440" t="s">
        <v>22</v>
      </c>
      <c r="D440" t="s">
        <v>133</v>
      </c>
    </row>
    <row r="441" spans="1:4" x14ac:dyDescent="0.25">
      <c r="A441" t="str">
        <f>"02462"</f>
        <v>02462</v>
      </c>
      <c r="B441" t="s">
        <v>586</v>
      </c>
      <c r="C441" t="s">
        <v>272</v>
      </c>
      <c r="D441" t="s">
        <v>73</v>
      </c>
    </row>
    <row r="442" spans="1:4" x14ac:dyDescent="0.25">
      <c r="A442" t="str">
        <f>"02464"</f>
        <v>02464</v>
      </c>
      <c r="B442" t="s">
        <v>587</v>
      </c>
      <c r="C442" t="s">
        <v>111</v>
      </c>
      <c r="D442" t="s">
        <v>379</v>
      </c>
    </row>
    <row r="443" spans="1:4" x14ac:dyDescent="0.25">
      <c r="A443" t="str">
        <f>"02467"</f>
        <v>02467</v>
      </c>
      <c r="B443" t="s">
        <v>588</v>
      </c>
      <c r="C443" t="s">
        <v>589</v>
      </c>
      <c r="D443" t="s">
        <v>17</v>
      </c>
    </row>
    <row r="444" spans="1:4" x14ac:dyDescent="0.25">
      <c r="A444" t="str">
        <f>"02468"</f>
        <v>02468</v>
      </c>
      <c r="B444" t="s">
        <v>590</v>
      </c>
      <c r="C444" t="s">
        <v>561</v>
      </c>
      <c r="D444" t="s">
        <v>73</v>
      </c>
    </row>
    <row r="445" spans="1:4" x14ac:dyDescent="0.25">
      <c r="A445" t="str">
        <f>"02469"</f>
        <v>02469</v>
      </c>
      <c r="B445" t="s">
        <v>591</v>
      </c>
      <c r="C445" t="s">
        <v>64</v>
      </c>
      <c r="D445" t="s">
        <v>133</v>
      </c>
    </row>
    <row r="446" spans="1:4" x14ac:dyDescent="0.25">
      <c r="A446" t="str">
        <f>"02472"</f>
        <v>02472</v>
      </c>
      <c r="B446" t="s">
        <v>592</v>
      </c>
      <c r="C446" t="s">
        <v>96</v>
      </c>
      <c r="D446" t="s">
        <v>73</v>
      </c>
    </row>
    <row r="447" spans="1:4" x14ac:dyDescent="0.25">
      <c r="A447" t="str">
        <f>"02476"</f>
        <v>02476</v>
      </c>
      <c r="B447" t="s">
        <v>593</v>
      </c>
      <c r="C447" t="s">
        <v>561</v>
      </c>
      <c r="D447" t="s">
        <v>73</v>
      </c>
    </row>
    <row r="448" spans="1:4" x14ac:dyDescent="0.25">
      <c r="A448" t="str">
        <f>"02477"</f>
        <v>02477</v>
      </c>
      <c r="B448" t="s">
        <v>594</v>
      </c>
      <c r="C448" t="s">
        <v>561</v>
      </c>
      <c r="D448" t="s">
        <v>120</v>
      </c>
    </row>
    <row r="449" spans="1:4" x14ac:dyDescent="0.25">
      <c r="A449" t="str">
        <f>"02478"</f>
        <v>02478</v>
      </c>
      <c r="B449" t="s">
        <v>595</v>
      </c>
      <c r="C449" t="s">
        <v>72</v>
      </c>
      <c r="D449" t="s">
        <v>73</v>
      </c>
    </row>
    <row r="450" spans="1:4" x14ac:dyDescent="0.25">
      <c r="A450" t="str">
        <f>"02479"</f>
        <v>02479</v>
      </c>
      <c r="B450" t="s">
        <v>596</v>
      </c>
      <c r="C450" t="s">
        <v>561</v>
      </c>
      <c r="D450" t="s">
        <v>120</v>
      </c>
    </row>
    <row r="451" spans="1:4" x14ac:dyDescent="0.25">
      <c r="A451" t="str">
        <f>"02480"</f>
        <v>02480</v>
      </c>
      <c r="B451" t="s">
        <v>597</v>
      </c>
      <c r="C451" t="s">
        <v>96</v>
      </c>
      <c r="D451" t="s">
        <v>73</v>
      </c>
    </row>
    <row r="452" spans="1:4" x14ac:dyDescent="0.25">
      <c r="A452" t="str">
        <f>"02481"</f>
        <v>02481</v>
      </c>
      <c r="B452" t="s">
        <v>598</v>
      </c>
      <c r="C452" t="s">
        <v>193</v>
      </c>
      <c r="D452" t="s">
        <v>34</v>
      </c>
    </row>
    <row r="453" spans="1:4" x14ac:dyDescent="0.25">
      <c r="A453" t="str">
        <f>"02484"</f>
        <v>02484</v>
      </c>
      <c r="B453" t="s">
        <v>599</v>
      </c>
      <c r="C453" t="s">
        <v>561</v>
      </c>
      <c r="D453" t="s">
        <v>99</v>
      </c>
    </row>
    <row r="454" spans="1:4" x14ac:dyDescent="0.25">
      <c r="A454" t="str">
        <f>"02485"</f>
        <v>02485</v>
      </c>
      <c r="B454" t="s">
        <v>600</v>
      </c>
      <c r="C454" t="s">
        <v>561</v>
      </c>
      <c r="D454" t="s">
        <v>19</v>
      </c>
    </row>
    <row r="455" spans="1:4" x14ac:dyDescent="0.25">
      <c r="A455" t="str">
        <f>"02486"</f>
        <v>02486</v>
      </c>
      <c r="B455" t="s">
        <v>601</v>
      </c>
      <c r="C455" t="s">
        <v>561</v>
      </c>
      <c r="D455" t="s">
        <v>19</v>
      </c>
    </row>
    <row r="456" spans="1:4" x14ac:dyDescent="0.25">
      <c r="A456" t="str">
        <f>"02487"</f>
        <v>02487</v>
      </c>
      <c r="B456" t="s">
        <v>602</v>
      </c>
      <c r="C456" t="s">
        <v>561</v>
      </c>
      <c r="D456" t="s">
        <v>135</v>
      </c>
    </row>
    <row r="457" spans="1:4" x14ac:dyDescent="0.25">
      <c r="A457" t="str">
        <f>"02490"</f>
        <v>02490</v>
      </c>
      <c r="B457" t="s">
        <v>603</v>
      </c>
      <c r="C457" t="s">
        <v>561</v>
      </c>
      <c r="D457" t="s">
        <v>149</v>
      </c>
    </row>
    <row r="458" spans="1:4" x14ac:dyDescent="0.25">
      <c r="A458" t="str">
        <f>"02491"</f>
        <v>02491</v>
      </c>
      <c r="B458" t="s">
        <v>604</v>
      </c>
      <c r="C458" t="s">
        <v>561</v>
      </c>
      <c r="D458" t="s">
        <v>19</v>
      </c>
    </row>
    <row r="459" spans="1:4" x14ac:dyDescent="0.25">
      <c r="A459" t="str">
        <f>"02492"</f>
        <v>02492</v>
      </c>
      <c r="B459" t="s">
        <v>605</v>
      </c>
      <c r="C459" t="s">
        <v>202</v>
      </c>
      <c r="D459" t="s">
        <v>12</v>
      </c>
    </row>
    <row r="460" spans="1:4" x14ac:dyDescent="0.25">
      <c r="A460" t="str">
        <f>"02493"</f>
        <v>02493</v>
      </c>
      <c r="B460" t="s">
        <v>606</v>
      </c>
      <c r="C460" t="s">
        <v>561</v>
      </c>
      <c r="D460" t="s">
        <v>73</v>
      </c>
    </row>
    <row r="461" spans="1:4" x14ac:dyDescent="0.25">
      <c r="A461" t="str">
        <f>"02495"</f>
        <v>02495</v>
      </c>
      <c r="B461" t="s">
        <v>607</v>
      </c>
      <c r="C461" t="s">
        <v>561</v>
      </c>
      <c r="D461" t="s">
        <v>73</v>
      </c>
    </row>
    <row r="462" spans="1:4" x14ac:dyDescent="0.25">
      <c r="A462" t="str">
        <f>"02499"</f>
        <v>02499</v>
      </c>
      <c r="B462" t="s">
        <v>608</v>
      </c>
      <c r="C462" t="s">
        <v>561</v>
      </c>
      <c r="D462" t="s">
        <v>149</v>
      </c>
    </row>
    <row r="463" spans="1:4" x14ac:dyDescent="0.25">
      <c r="A463" t="str">
        <f>"02500"</f>
        <v>02500</v>
      </c>
      <c r="B463" t="s">
        <v>609</v>
      </c>
      <c r="C463" t="s">
        <v>272</v>
      </c>
      <c r="D463" t="s">
        <v>19</v>
      </c>
    </row>
    <row r="464" spans="1:4" x14ac:dyDescent="0.25">
      <c r="A464" t="str">
        <f>"02501"</f>
        <v>02501</v>
      </c>
      <c r="B464" t="s">
        <v>610</v>
      </c>
      <c r="C464" t="s">
        <v>561</v>
      </c>
      <c r="D464" t="s">
        <v>149</v>
      </c>
    </row>
    <row r="465" spans="1:4" x14ac:dyDescent="0.25">
      <c r="A465" t="str">
        <f>"02504"</f>
        <v>02504</v>
      </c>
      <c r="B465" t="s">
        <v>611</v>
      </c>
      <c r="C465" t="s">
        <v>561</v>
      </c>
      <c r="D465" t="s">
        <v>120</v>
      </c>
    </row>
    <row r="466" spans="1:4" x14ac:dyDescent="0.25">
      <c r="A466" t="str">
        <f>"02505"</f>
        <v>02505</v>
      </c>
      <c r="B466" t="s">
        <v>612</v>
      </c>
      <c r="C466" t="s">
        <v>561</v>
      </c>
      <c r="D466" t="s">
        <v>149</v>
      </c>
    </row>
    <row r="467" spans="1:4" x14ac:dyDescent="0.25">
      <c r="A467" t="str">
        <f>"02506"</f>
        <v>02506</v>
      </c>
      <c r="B467" t="s">
        <v>613</v>
      </c>
      <c r="C467" t="s">
        <v>561</v>
      </c>
      <c r="D467" t="s">
        <v>73</v>
      </c>
    </row>
    <row r="468" spans="1:4" x14ac:dyDescent="0.25">
      <c r="A468" t="str">
        <f>"02507"</f>
        <v>02507</v>
      </c>
      <c r="B468" t="s">
        <v>614</v>
      </c>
      <c r="C468" t="s">
        <v>561</v>
      </c>
      <c r="D468" t="s">
        <v>73</v>
      </c>
    </row>
    <row r="469" spans="1:4" x14ac:dyDescent="0.25">
      <c r="A469" t="str">
        <f>"02510"</f>
        <v>02510</v>
      </c>
      <c r="B469" t="s">
        <v>615</v>
      </c>
      <c r="C469" t="s">
        <v>96</v>
      </c>
      <c r="D469" t="s">
        <v>99</v>
      </c>
    </row>
    <row r="470" spans="1:4" x14ac:dyDescent="0.25">
      <c r="A470" t="str">
        <f>"02512"</f>
        <v>02512</v>
      </c>
      <c r="B470" t="s">
        <v>616</v>
      </c>
      <c r="C470" t="s">
        <v>72</v>
      </c>
      <c r="D470" t="s">
        <v>149</v>
      </c>
    </row>
    <row r="471" spans="1:4" x14ac:dyDescent="0.25">
      <c r="A471" t="str">
        <f>"02513"</f>
        <v>02513</v>
      </c>
      <c r="B471" t="s">
        <v>617</v>
      </c>
      <c r="C471" t="s">
        <v>561</v>
      </c>
      <c r="D471" t="s">
        <v>80</v>
      </c>
    </row>
    <row r="472" spans="1:4" x14ac:dyDescent="0.25">
      <c r="A472" t="str">
        <f>"02514"</f>
        <v>02514</v>
      </c>
      <c r="B472" t="s">
        <v>618</v>
      </c>
      <c r="C472" t="s">
        <v>96</v>
      </c>
      <c r="D472" t="s">
        <v>149</v>
      </c>
    </row>
    <row r="473" spans="1:4" x14ac:dyDescent="0.25">
      <c r="A473" t="str">
        <f>"02516"</f>
        <v>02516</v>
      </c>
      <c r="B473" t="s">
        <v>619</v>
      </c>
      <c r="C473" t="s">
        <v>72</v>
      </c>
      <c r="D473" t="s">
        <v>73</v>
      </c>
    </row>
    <row r="474" spans="1:4" x14ac:dyDescent="0.25">
      <c r="A474" t="str">
        <f>"02518"</f>
        <v>02518</v>
      </c>
      <c r="B474" t="s">
        <v>620</v>
      </c>
      <c r="C474" t="s">
        <v>621</v>
      </c>
      <c r="D474" t="s">
        <v>141</v>
      </c>
    </row>
    <row r="475" spans="1:4" x14ac:dyDescent="0.25">
      <c r="A475" t="str">
        <f>"02519"</f>
        <v>02519</v>
      </c>
      <c r="B475" t="s">
        <v>622</v>
      </c>
      <c r="C475" t="s">
        <v>623</v>
      </c>
      <c r="D475" t="s">
        <v>149</v>
      </c>
    </row>
    <row r="476" spans="1:4" x14ac:dyDescent="0.25">
      <c r="A476" t="str">
        <f>"02520"</f>
        <v>02520</v>
      </c>
      <c r="B476" t="s">
        <v>624</v>
      </c>
      <c r="C476" t="s">
        <v>561</v>
      </c>
      <c r="D476" t="s">
        <v>149</v>
      </c>
    </row>
    <row r="477" spans="1:4" x14ac:dyDescent="0.25">
      <c r="A477" t="str">
        <f>"02521"</f>
        <v>02521</v>
      </c>
      <c r="B477" t="s">
        <v>625</v>
      </c>
      <c r="C477" t="s">
        <v>533</v>
      </c>
      <c r="D477" t="s">
        <v>58</v>
      </c>
    </row>
    <row r="478" spans="1:4" x14ac:dyDescent="0.25">
      <c r="A478" t="str">
        <f>"02523"</f>
        <v>02523</v>
      </c>
      <c r="B478" t="s">
        <v>626</v>
      </c>
      <c r="C478" t="s">
        <v>171</v>
      </c>
      <c r="D478" t="s">
        <v>73</v>
      </c>
    </row>
    <row r="479" spans="1:4" x14ac:dyDescent="0.25">
      <c r="A479" t="str">
        <f>"02525"</f>
        <v>02525</v>
      </c>
      <c r="B479" t="s">
        <v>627</v>
      </c>
      <c r="C479" t="s">
        <v>96</v>
      </c>
      <c r="D479" t="s">
        <v>73</v>
      </c>
    </row>
    <row r="480" spans="1:4" x14ac:dyDescent="0.25">
      <c r="A480" t="str">
        <f>"02533"</f>
        <v>02533</v>
      </c>
      <c r="B480" t="s">
        <v>628</v>
      </c>
      <c r="C480" t="s">
        <v>96</v>
      </c>
      <c r="D480" t="s">
        <v>122</v>
      </c>
    </row>
    <row r="481" spans="1:4" x14ac:dyDescent="0.25">
      <c r="A481" t="str">
        <f>"02534"</f>
        <v>02534</v>
      </c>
      <c r="B481" t="s">
        <v>629</v>
      </c>
      <c r="C481" t="s">
        <v>193</v>
      </c>
      <c r="D481" t="s">
        <v>42</v>
      </c>
    </row>
    <row r="482" spans="1:4" x14ac:dyDescent="0.25">
      <c r="A482" t="str">
        <f>"02536"</f>
        <v>02536</v>
      </c>
      <c r="B482" t="s">
        <v>630</v>
      </c>
      <c r="C482" t="s">
        <v>64</v>
      </c>
      <c r="D482" t="s">
        <v>125</v>
      </c>
    </row>
    <row r="483" spans="1:4" x14ac:dyDescent="0.25">
      <c r="A483" t="str">
        <f>"02537"</f>
        <v>02537</v>
      </c>
      <c r="B483" t="s">
        <v>631</v>
      </c>
      <c r="C483" t="s">
        <v>561</v>
      </c>
      <c r="D483" t="s">
        <v>122</v>
      </c>
    </row>
    <row r="484" spans="1:4" x14ac:dyDescent="0.25">
      <c r="A484" t="str">
        <f>"02539"</f>
        <v>02539</v>
      </c>
      <c r="B484" t="s">
        <v>632</v>
      </c>
      <c r="C484" t="s">
        <v>561</v>
      </c>
      <c r="D484" t="s">
        <v>40</v>
      </c>
    </row>
    <row r="485" spans="1:4" x14ac:dyDescent="0.25">
      <c r="A485" t="str">
        <f>"02540"</f>
        <v>02540</v>
      </c>
      <c r="B485" t="s">
        <v>633</v>
      </c>
      <c r="C485" t="s">
        <v>193</v>
      </c>
      <c r="D485" t="s">
        <v>19</v>
      </c>
    </row>
    <row r="486" spans="1:4" x14ac:dyDescent="0.25">
      <c r="A486" t="str">
        <f>"02541"</f>
        <v>02541</v>
      </c>
      <c r="B486" t="s">
        <v>634</v>
      </c>
      <c r="C486" t="s">
        <v>561</v>
      </c>
      <c r="D486" t="s">
        <v>149</v>
      </c>
    </row>
    <row r="487" spans="1:4" x14ac:dyDescent="0.25">
      <c r="A487" t="str">
        <f>"02549"</f>
        <v>02549</v>
      </c>
      <c r="B487" t="s">
        <v>635</v>
      </c>
      <c r="C487" t="s">
        <v>64</v>
      </c>
      <c r="D487" t="s">
        <v>390</v>
      </c>
    </row>
    <row r="488" spans="1:4" x14ac:dyDescent="0.25">
      <c r="A488" t="str">
        <f>"02554"</f>
        <v>02554</v>
      </c>
      <c r="B488" t="s">
        <v>636</v>
      </c>
      <c r="C488" t="s">
        <v>52</v>
      </c>
      <c r="D488" t="s">
        <v>582</v>
      </c>
    </row>
    <row r="489" spans="1:4" x14ac:dyDescent="0.25">
      <c r="A489" t="str">
        <f>"02556"</f>
        <v>02556</v>
      </c>
      <c r="B489" t="s">
        <v>637</v>
      </c>
      <c r="C489" t="s">
        <v>52</v>
      </c>
      <c r="D489" t="s">
        <v>80</v>
      </c>
    </row>
    <row r="490" spans="1:4" x14ac:dyDescent="0.25">
      <c r="A490" t="str">
        <f>"02559"</f>
        <v>02559</v>
      </c>
      <c r="B490" t="s">
        <v>638</v>
      </c>
      <c r="C490" t="s">
        <v>52</v>
      </c>
      <c r="D490" t="s">
        <v>73</v>
      </c>
    </row>
    <row r="491" spans="1:4" x14ac:dyDescent="0.25">
      <c r="A491" t="str">
        <f>"02561"</f>
        <v>02561</v>
      </c>
      <c r="B491" t="s">
        <v>639</v>
      </c>
      <c r="C491" t="s">
        <v>52</v>
      </c>
      <c r="D491" t="s">
        <v>80</v>
      </c>
    </row>
    <row r="492" spans="1:4" x14ac:dyDescent="0.25">
      <c r="A492" t="str">
        <f>"02565"</f>
        <v>02565</v>
      </c>
      <c r="B492" t="s">
        <v>640</v>
      </c>
      <c r="C492" t="s">
        <v>561</v>
      </c>
      <c r="D492" t="s">
        <v>99</v>
      </c>
    </row>
    <row r="493" spans="1:4" x14ac:dyDescent="0.25">
      <c r="A493" t="str">
        <f>"02567"</f>
        <v>02567</v>
      </c>
      <c r="B493" t="s">
        <v>641</v>
      </c>
      <c r="C493" t="s">
        <v>248</v>
      </c>
      <c r="D493" t="s">
        <v>642</v>
      </c>
    </row>
    <row r="494" spans="1:4" x14ac:dyDescent="0.25">
      <c r="A494" t="str">
        <f>"02569"</f>
        <v>02569</v>
      </c>
      <c r="B494" t="s">
        <v>643</v>
      </c>
      <c r="C494" t="s">
        <v>96</v>
      </c>
      <c r="D494" t="s">
        <v>125</v>
      </c>
    </row>
    <row r="495" spans="1:4" x14ac:dyDescent="0.25">
      <c r="A495" t="str">
        <f>"02570"</f>
        <v>02570</v>
      </c>
      <c r="B495" t="s">
        <v>644</v>
      </c>
      <c r="C495" t="s">
        <v>645</v>
      </c>
      <c r="D495" t="s">
        <v>133</v>
      </c>
    </row>
    <row r="496" spans="1:4" x14ac:dyDescent="0.25">
      <c r="A496" t="str">
        <f>"02576"</f>
        <v>02576</v>
      </c>
      <c r="B496" t="s">
        <v>646</v>
      </c>
      <c r="C496" t="s">
        <v>324</v>
      </c>
      <c r="D496" t="s">
        <v>109</v>
      </c>
    </row>
    <row r="497" spans="1:4" x14ac:dyDescent="0.25">
      <c r="A497" t="str">
        <f>"02577"</f>
        <v>02577</v>
      </c>
      <c r="B497" t="s">
        <v>647</v>
      </c>
      <c r="C497" t="s">
        <v>561</v>
      </c>
      <c r="D497" t="s">
        <v>99</v>
      </c>
    </row>
    <row r="498" spans="1:4" x14ac:dyDescent="0.25">
      <c r="A498" t="str">
        <f>"02578"</f>
        <v>02578</v>
      </c>
      <c r="B498" t="s">
        <v>648</v>
      </c>
      <c r="C498" t="s">
        <v>561</v>
      </c>
      <c r="D498" t="s">
        <v>120</v>
      </c>
    </row>
    <row r="499" spans="1:4" x14ac:dyDescent="0.25">
      <c r="A499" t="str">
        <f>"02579"</f>
        <v>02579</v>
      </c>
      <c r="B499" t="s">
        <v>649</v>
      </c>
      <c r="C499" t="s">
        <v>96</v>
      </c>
      <c r="D499" t="s">
        <v>125</v>
      </c>
    </row>
    <row r="500" spans="1:4" x14ac:dyDescent="0.25">
      <c r="A500" t="str">
        <f>"02580"</f>
        <v>02580</v>
      </c>
      <c r="B500" t="s">
        <v>650</v>
      </c>
      <c r="C500" t="s">
        <v>330</v>
      </c>
      <c r="D500" t="s">
        <v>109</v>
      </c>
    </row>
    <row r="501" spans="1:4" x14ac:dyDescent="0.25">
      <c r="A501" t="str">
        <f>"02581"</f>
        <v>02581</v>
      </c>
      <c r="B501" t="s">
        <v>651</v>
      </c>
      <c r="C501" t="s">
        <v>330</v>
      </c>
      <c r="D501" t="s">
        <v>109</v>
      </c>
    </row>
    <row r="502" spans="1:4" x14ac:dyDescent="0.25">
      <c r="A502" t="str">
        <f>"02582"</f>
        <v>02582</v>
      </c>
      <c r="B502" t="s">
        <v>652</v>
      </c>
      <c r="C502" t="s">
        <v>561</v>
      </c>
      <c r="D502" t="s">
        <v>19</v>
      </c>
    </row>
    <row r="503" spans="1:4" x14ac:dyDescent="0.25">
      <c r="A503" t="str">
        <f>"02584"</f>
        <v>02584</v>
      </c>
      <c r="B503" t="s">
        <v>653</v>
      </c>
      <c r="C503" t="s">
        <v>96</v>
      </c>
      <c r="D503" t="s">
        <v>125</v>
      </c>
    </row>
    <row r="504" spans="1:4" x14ac:dyDescent="0.25">
      <c r="A504" t="str">
        <f>"02586"</f>
        <v>02586</v>
      </c>
      <c r="B504" t="s">
        <v>654</v>
      </c>
      <c r="C504" t="s">
        <v>330</v>
      </c>
      <c r="D504" t="s">
        <v>109</v>
      </c>
    </row>
    <row r="505" spans="1:4" x14ac:dyDescent="0.25">
      <c r="A505" t="str">
        <f>"02591"</f>
        <v>02591</v>
      </c>
      <c r="B505" t="s">
        <v>655</v>
      </c>
      <c r="C505" t="s">
        <v>22</v>
      </c>
      <c r="D505" t="s">
        <v>97</v>
      </c>
    </row>
    <row r="506" spans="1:4" x14ac:dyDescent="0.25">
      <c r="A506" t="str">
        <f>"02592"</f>
        <v>02592</v>
      </c>
      <c r="B506" t="s">
        <v>656</v>
      </c>
      <c r="C506" t="s">
        <v>272</v>
      </c>
      <c r="D506" t="s">
        <v>582</v>
      </c>
    </row>
    <row r="507" spans="1:4" x14ac:dyDescent="0.25">
      <c r="A507" t="str">
        <f>"02593"</f>
        <v>02593</v>
      </c>
      <c r="B507" t="s">
        <v>657</v>
      </c>
      <c r="C507" t="s">
        <v>96</v>
      </c>
      <c r="D507" t="s">
        <v>120</v>
      </c>
    </row>
    <row r="508" spans="1:4" x14ac:dyDescent="0.25">
      <c r="A508" t="str">
        <f>"02595"</f>
        <v>02595</v>
      </c>
      <c r="B508" t="s">
        <v>658</v>
      </c>
      <c r="C508" t="s">
        <v>659</v>
      </c>
      <c r="D508" t="s">
        <v>99</v>
      </c>
    </row>
    <row r="509" spans="1:4" x14ac:dyDescent="0.25">
      <c r="A509" t="str">
        <f>"02598"</f>
        <v>02598</v>
      </c>
      <c r="B509" t="s">
        <v>660</v>
      </c>
      <c r="C509" t="s">
        <v>155</v>
      </c>
      <c r="D509" t="s">
        <v>156</v>
      </c>
    </row>
    <row r="510" spans="1:4" x14ac:dyDescent="0.25">
      <c r="A510" t="str">
        <f>"02601"</f>
        <v>02601</v>
      </c>
      <c r="B510" t="s">
        <v>661</v>
      </c>
      <c r="C510" t="s">
        <v>72</v>
      </c>
      <c r="D510" t="s">
        <v>120</v>
      </c>
    </row>
    <row r="511" spans="1:4" x14ac:dyDescent="0.25">
      <c r="A511" t="str">
        <f>"02603"</f>
        <v>02603</v>
      </c>
      <c r="B511" t="s">
        <v>662</v>
      </c>
      <c r="C511" t="s">
        <v>72</v>
      </c>
      <c r="D511" t="s">
        <v>80</v>
      </c>
    </row>
    <row r="512" spans="1:4" x14ac:dyDescent="0.25">
      <c r="A512" t="str">
        <f>"02605"</f>
        <v>02605</v>
      </c>
      <c r="B512" t="s">
        <v>663</v>
      </c>
      <c r="C512" t="s">
        <v>664</v>
      </c>
      <c r="D512" t="s">
        <v>9</v>
      </c>
    </row>
    <row r="513" spans="1:4" x14ac:dyDescent="0.25">
      <c r="A513" t="str">
        <f>"02606"</f>
        <v>02606</v>
      </c>
      <c r="B513" t="s">
        <v>665</v>
      </c>
      <c r="C513" t="s">
        <v>666</v>
      </c>
      <c r="D513" t="s">
        <v>9</v>
      </c>
    </row>
    <row r="514" spans="1:4" x14ac:dyDescent="0.25">
      <c r="A514" t="str">
        <f>"02610"</f>
        <v>02610</v>
      </c>
      <c r="B514" t="s">
        <v>667</v>
      </c>
      <c r="C514" t="s">
        <v>22</v>
      </c>
      <c r="D514" t="s">
        <v>34</v>
      </c>
    </row>
    <row r="515" spans="1:4" x14ac:dyDescent="0.25">
      <c r="A515" t="str">
        <f>"02611"</f>
        <v>02611</v>
      </c>
      <c r="B515" t="s">
        <v>668</v>
      </c>
      <c r="C515" t="s">
        <v>258</v>
      </c>
      <c r="D515" t="s">
        <v>9</v>
      </c>
    </row>
    <row r="516" spans="1:4" x14ac:dyDescent="0.25">
      <c r="A516" t="str">
        <f>"02613"</f>
        <v>02613</v>
      </c>
      <c r="B516" t="s">
        <v>669</v>
      </c>
      <c r="C516" t="s">
        <v>22</v>
      </c>
      <c r="D516" t="s">
        <v>149</v>
      </c>
    </row>
    <row r="517" spans="1:4" x14ac:dyDescent="0.25">
      <c r="A517" t="str">
        <f>"02616"</f>
        <v>02616</v>
      </c>
      <c r="B517" t="s">
        <v>670</v>
      </c>
      <c r="C517" t="s">
        <v>671</v>
      </c>
      <c r="D517" t="s">
        <v>73</v>
      </c>
    </row>
    <row r="518" spans="1:4" x14ac:dyDescent="0.25">
      <c r="A518" t="str">
        <f>"02617"</f>
        <v>02617</v>
      </c>
      <c r="B518" t="s">
        <v>672</v>
      </c>
      <c r="C518" t="s">
        <v>378</v>
      </c>
      <c r="D518" t="s">
        <v>122</v>
      </c>
    </row>
    <row r="519" spans="1:4" x14ac:dyDescent="0.25">
      <c r="A519" t="str">
        <f>"02620"</f>
        <v>02620</v>
      </c>
      <c r="B519" t="s">
        <v>673</v>
      </c>
      <c r="C519" t="s">
        <v>671</v>
      </c>
      <c r="D519" t="s">
        <v>135</v>
      </c>
    </row>
    <row r="520" spans="1:4" x14ac:dyDescent="0.25">
      <c r="A520" t="str">
        <f>"02625"</f>
        <v>02625</v>
      </c>
      <c r="B520" t="s">
        <v>674</v>
      </c>
      <c r="C520" t="s">
        <v>72</v>
      </c>
      <c r="D520" t="s">
        <v>411</v>
      </c>
    </row>
    <row r="521" spans="1:4" x14ac:dyDescent="0.25">
      <c r="A521" t="str">
        <f>"02626"</f>
        <v>02626</v>
      </c>
      <c r="B521" t="s">
        <v>675</v>
      </c>
      <c r="C521" t="s">
        <v>96</v>
      </c>
      <c r="D521" t="s">
        <v>120</v>
      </c>
    </row>
    <row r="522" spans="1:4" x14ac:dyDescent="0.25">
      <c r="A522" t="str">
        <f>"02627"</f>
        <v>02627</v>
      </c>
      <c r="B522" t="s">
        <v>676</v>
      </c>
      <c r="C522" t="s">
        <v>561</v>
      </c>
      <c r="D522" t="s">
        <v>120</v>
      </c>
    </row>
    <row r="523" spans="1:4" x14ac:dyDescent="0.25">
      <c r="A523" t="str">
        <f>"02629"</f>
        <v>02629</v>
      </c>
      <c r="B523" t="s">
        <v>677</v>
      </c>
      <c r="C523" t="s">
        <v>96</v>
      </c>
      <c r="D523" t="s">
        <v>120</v>
      </c>
    </row>
    <row r="524" spans="1:4" x14ac:dyDescent="0.25">
      <c r="A524" t="str">
        <f>"02630"</f>
        <v>02630</v>
      </c>
      <c r="B524" t="s">
        <v>678</v>
      </c>
      <c r="C524" t="s">
        <v>96</v>
      </c>
      <c r="D524" t="s">
        <v>120</v>
      </c>
    </row>
    <row r="525" spans="1:4" x14ac:dyDescent="0.25">
      <c r="A525" t="str">
        <f>"02631"</f>
        <v>02631</v>
      </c>
      <c r="B525" t="s">
        <v>679</v>
      </c>
      <c r="C525" t="s">
        <v>72</v>
      </c>
      <c r="D525" t="s">
        <v>411</v>
      </c>
    </row>
    <row r="526" spans="1:4" x14ac:dyDescent="0.25">
      <c r="A526" t="str">
        <f>"02634"</f>
        <v>02634</v>
      </c>
      <c r="B526" t="s">
        <v>680</v>
      </c>
      <c r="C526" t="s">
        <v>22</v>
      </c>
      <c r="D526" t="s">
        <v>141</v>
      </c>
    </row>
    <row r="527" spans="1:4" x14ac:dyDescent="0.25">
      <c r="A527" t="str">
        <f>"02635"</f>
        <v>02635</v>
      </c>
      <c r="B527" t="s">
        <v>681</v>
      </c>
      <c r="C527" t="s">
        <v>171</v>
      </c>
      <c r="D527" t="s">
        <v>125</v>
      </c>
    </row>
    <row r="528" spans="1:4" x14ac:dyDescent="0.25">
      <c r="A528" t="str">
        <f>"02638"</f>
        <v>02638</v>
      </c>
      <c r="B528" t="s">
        <v>682</v>
      </c>
      <c r="C528" t="s">
        <v>683</v>
      </c>
      <c r="D528" t="s">
        <v>58</v>
      </c>
    </row>
    <row r="529" spans="1:4" x14ac:dyDescent="0.25">
      <c r="A529" t="str">
        <f>"02639"</f>
        <v>02639</v>
      </c>
      <c r="B529" t="s">
        <v>684</v>
      </c>
      <c r="C529" t="s">
        <v>64</v>
      </c>
      <c r="D529" t="s">
        <v>189</v>
      </c>
    </row>
    <row r="530" spans="1:4" x14ac:dyDescent="0.25">
      <c r="A530" t="str">
        <f>"02641"</f>
        <v>02641</v>
      </c>
      <c r="B530" t="s">
        <v>685</v>
      </c>
      <c r="C530" t="s">
        <v>378</v>
      </c>
      <c r="D530" t="s">
        <v>287</v>
      </c>
    </row>
    <row r="531" spans="1:4" x14ac:dyDescent="0.25">
      <c r="A531" t="str">
        <f>"02642"</f>
        <v>02642</v>
      </c>
      <c r="B531" t="s">
        <v>686</v>
      </c>
      <c r="C531" t="s">
        <v>33</v>
      </c>
      <c r="D531" t="s">
        <v>17</v>
      </c>
    </row>
    <row r="532" spans="1:4" x14ac:dyDescent="0.25">
      <c r="A532" t="str">
        <f>"02645"</f>
        <v>02645</v>
      </c>
      <c r="B532" t="s">
        <v>687</v>
      </c>
      <c r="C532" t="s">
        <v>193</v>
      </c>
      <c r="D532" t="s">
        <v>99</v>
      </c>
    </row>
    <row r="533" spans="1:4" x14ac:dyDescent="0.25">
      <c r="A533" t="str">
        <f>"02646"</f>
        <v>02646</v>
      </c>
      <c r="B533" t="s">
        <v>688</v>
      </c>
      <c r="C533" t="s">
        <v>671</v>
      </c>
      <c r="D533" t="s">
        <v>149</v>
      </c>
    </row>
    <row r="534" spans="1:4" x14ac:dyDescent="0.25">
      <c r="A534" t="str">
        <f>"02647"</f>
        <v>02647</v>
      </c>
      <c r="B534" t="s">
        <v>689</v>
      </c>
      <c r="C534" t="s">
        <v>193</v>
      </c>
      <c r="D534" t="s">
        <v>469</v>
      </c>
    </row>
    <row r="535" spans="1:4" x14ac:dyDescent="0.25">
      <c r="A535" t="str">
        <f>"02648"</f>
        <v>02648</v>
      </c>
      <c r="B535" t="s">
        <v>690</v>
      </c>
      <c r="C535" t="s">
        <v>551</v>
      </c>
      <c r="D535" t="s">
        <v>122</v>
      </c>
    </row>
    <row r="536" spans="1:4" x14ac:dyDescent="0.25">
      <c r="A536" t="str">
        <f>"02652"</f>
        <v>02652</v>
      </c>
      <c r="B536" t="s">
        <v>691</v>
      </c>
      <c r="C536" t="s">
        <v>96</v>
      </c>
      <c r="D536" t="s">
        <v>120</v>
      </c>
    </row>
    <row r="537" spans="1:4" x14ac:dyDescent="0.25">
      <c r="A537" t="str">
        <f>"02653"</f>
        <v>02653</v>
      </c>
      <c r="B537" t="s">
        <v>692</v>
      </c>
      <c r="C537" t="s">
        <v>671</v>
      </c>
      <c r="D537" t="s">
        <v>73</v>
      </c>
    </row>
    <row r="538" spans="1:4" x14ac:dyDescent="0.25">
      <c r="A538" t="str">
        <f>"02656"</f>
        <v>02656</v>
      </c>
      <c r="B538" t="s">
        <v>693</v>
      </c>
      <c r="C538" t="s">
        <v>96</v>
      </c>
      <c r="D538" t="s">
        <v>120</v>
      </c>
    </row>
    <row r="539" spans="1:4" x14ac:dyDescent="0.25">
      <c r="A539" t="str">
        <f>"02658"</f>
        <v>02658</v>
      </c>
      <c r="B539" t="s">
        <v>694</v>
      </c>
      <c r="C539" t="s">
        <v>695</v>
      </c>
      <c r="D539" t="s">
        <v>102</v>
      </c>
    </row>
    <row r="540" spans="1:4" x14ac:dyDescent="0.25">
      <c r="A540" t="str">
        <f>"02659"</f>
        <v>02659</v>
      </c>
      <c r="B540" t="s">
        <v>696</v>
      </c>
      <c r="C540" t="s">
        <v>96</v>
      </c>
      <c r="D540" t="s">
        <v>120</v>
      </c>
    </row>
    <row r="541" spans="1:4" x14ac:dyDescent="0.25">
      <c r="A541" t="str">
        <f>"02660"</f>
        <v>02660</v>
      </c>
      <c r="B541" t="s">
        <v>697</v>
      </c>
      <c r="C541" t="s">
        <v>96</v>
      </c>
      <c r="D541" t="s">
        <v>120</v>
      </c>
    </row>
    <row r="542" spans="1:4" x14ac:dyDescent="0.25">
      <c r="A542" t="str">
        <f>"02667"</f>
        <v>02667</v>
      </c>
      <c r="B542" t="s">
        <v>698</v>
      </c>
      <c r="C542" t="s">
        <v>551</v>
      </c>
      <c r="D542" t="s">
        <v>73</v>
      </c>
    </row>
    <row r="543" spans="1:4" x14ac:dyDescent="0.25">
      <c r="A543" t="str">
        <f>"02668"</f>
        <v>02668</v>
      </c>
      <c r="B543" t="s">
        <v>699</v>
      </c>
      <c r="C543" t="s">
        <v>143</v>
      </c>
      <c r="D543" t="s">
        <v>105</v>
      </c>
    </row>
    <row r="544" spans="1:4" x14ac:dyDescent="0.25">
      <c r="A544" t="str">
        <f>"02670"</f>
        <v>02670</v>
      </c>
      <c r="B544" t="s">
        <v>700</v>
      </c>
      <c r="C544" t="s">
        <v>193</v>
      </c>
      <c r="D544" t="s">
        <v>34</v>
      </c>
    </row>
    <row r="545" spans="1:4" x14ac:dyDescent="0.25">
      <c r="A545" t="str">
        <f>"02674"</f>
        <v>02674</v>
      </c>
      <c r="B545" t="s">
        <v>701</v>
      </c>
      <c r="C545" t="s">
        <v>193</v>
      </c>
      <c r="D545" t="s">
        <v>17</v>
      </c>
    </row>
    <row r="546" spans="1:4" x14ac:dyDescent="0.25">
      <c r="A546" t="str">
        <f>"02683"</f>
        <v>02683</v>
      </c>
      <c r="B546" t="s">
        <v>702</v>
      </c>
      <c r="C546" t="s">
        <v>72</v>
      </c>
      <c r="D546" t="s">
        <v>73</v>
      </c>
    </row>
    <row r="547" spans="1:4" x14ac:dyDescent="0.25">
      <c r="A547" t="str">
        <f>"02684"</f>
        <v>02684</v>
      </c>
      <c r="B547" t="s">
        <v>703</v>
      </c>
      <c r="C547" t="s">
        <v>683</v>
      </c>
      <c r="D547" t="s">
        <v>58</v>
      </c>
    </row>
    <row r="548" spans="1:4" x14ac:dyDescent="0.25">
      <c r="A548" t="str">
        <f>"02685"</f>
        <v>02685</v>
      </c>
      <c r="B548" t="s">
        <v>704</v>
      </c>
      <c r="C548" t="s">
        <v>272</v>
      </c>
      <c r="D548" t="s">
        <v>19</v>
      </c>
    </row>
    <row r="549" spans="1:4" x14ac:dyDescent="0.25">
      <c r="A549" t="str">
        <f>"02686"</f>
        <v>02686</v>
      </c>
      <c r="B549" t="s">
        <v>705</v>
      </c>
      <c r="C549" t="s">
        <v>671</v>
      </c>
      <c r="D549" t="s">
        <v>149</v>
      </c>
    </row>
    <row r="550" spans="1:4" x14ac:dyDescent="0.25">
      <c r="A550" t="str">
        <f>"02689"</f>
        <v>02689</v>
      </c>
      <c r="B550" t="s">
        <v>706</v>
      </c>
      <c r="C550" t="s">
        <v>96</v>
      </c>
      <c r="D550" t="s">
        <v>149</v>
      </c>
    </row>
    <row r="551" spans="1:4" x14ac:dyDescent="0.25">
      <c r="A551" t="str">
        <f>"02691"</f>
        <v>02691</v>
      </c>
      <c r="B551" t="s">
        <v>707</v>
      </c>
      <c r="C551" t="s">
        <v>72</v>
      </c>
      <c r="D551" t="s">
        <v>73</v>
      </c>
    </row>
    <row r="552" spans="1:4" x14ac:dyDescent="0.25">
      <c r="A552" t="str">
        <f>"02692"</f>
        <v>02692</v>
      </c>
      <c r="B552" t="s">
        <v>708</v>
      </c>
      <c r="C552" t="s">
        <v>96</v>
      </c>
      <c r="D552" t="s">
        <v>91</v>
      </c>
    </row>
    <row r="553" spans="1:4" x14ac:dyDescent="0.25">
      <c r="A553" t="str">
        <f>"02694"</f>
        <v>02694</v>
      </c>
      <c r="B553" t="s">
        <v>709</v>
      </c>
      <c r="C553" t="s">
        <v>96</v>
      </c>
      <c r="D553" t="s">
        <v>91</v>
      </c>
    </row>
    <row r="554" spans="1:4" x14ac:dyDescent="0.25">
      <c r="A554" t="str">
        <f>"02695"</f>
        <v>02695</v>
      </c>
      <c r="B554" t="s">
        <v>710</v>
      </c>
      <c r="C554" t="s">
        <v>96</v>
      </c>
      <c r="D554" t="s">
        <v>40</v>
      </c>
    </row>
    <row r="555" spans="1:4" x14ac:dyDescent="0.25">
      <c r="A555" t="str">
        <f>"02696"</f>
        <v>02696</v>
      </c>
      <c r="B555" t="s">
        <v>711</v>
      </c>
      <c r="C555" t="s">
        <v>72</v>
      </c>
      <c r="D555" t="s">
        <v>73</v>
      </c>
    </row>
    <row r="556" spans="1:4" x14ac:dyDescent="0.25">
      <c r="A556" t="str">
        <f>"02697"</f>
        <v>02697</v>
      </c>
      <c r="B556" t="s">
        <v>712</v>
      </c>
      <c r="C556" t="s">
        <v>96</v>
      </c>
      <c r="D556" t="s">
        <v>40</v>
      </c>
    </row>
    <row r="557" spans="1:4" x14ac:dyDescent="0.25">
      <c r="A557" t="str">
        <f>"02699"</f>
        <v>02699</v>
      </c>
      <c r="B557" t="s">
        <v>713</v>
      </c>
      <c r="C557" t="s">
        <v>22</v>
      </c>
      <c r="D557" t="s">
        <v>85</v>
      </c>
    </row>
    <row r="558" spans="1:4" x14ac:dyDescent="0.25">
      <c r="A558" t="str">
        <f>"02700"</f>
        <v>02700</v>
      </c>
      <c r="B558" t="s">
        <v>714</v>
      </c>
      <c r="C558" t="s">
        <v>22</v>
      </c>
      <c r="D558" t="s">
        <v>149</v>
      </c>
    </row>
    <row r="559" spans="1:4" x14ac:dyDescent="0.25">
      <c r="A559" t="str">
        <f>"02704"</f>
        <v>02704</v>
      </c>
      <c r="B559" t="s">
        <v>715</v>
      </c>
      <c r="C559" t="s">
        <v>96</v>
      </c>
      <c r="D559" t="s">
        <v>99</v>
      </c>
    </row>
    <row r="560" spans="1:4" x14ac:dyDescent="0.25">
      <c r="A560" t="str">
        <f>"02705"</f>
        <v>02705</v>
      </c>
      <c r="B560" t="s">
        <v>716</v>
      </c>
      <c r="C560" t="s">
        <v>717</v>
      </c>
      <c r="D560" t="s">
        <v>133</v>
      </c>
    </row>
    <row r="561" spans="1:4" x14ac:dyDescent="0.25">
      <c r="A561" t="str">
        <f>"02706"</f>
        <v>02706</v>
      </c>
      <c r="B561" t="s">
        <v>718</v>
      </c>
      <c r="C561" t="s">
        <v>143</v>
      </c>
      <c r="D561" t="s">
        <v>105</v>
      </c>
    </row>
    <row r="562" spans="1:4" x14ac:dyDescent="0.25">
      <c r="A562" t="str">
        <f>"02711"</f>
        <v>02711</v>
      </c>
      <c r="B562" t="s">
        <v>719</v>
      </c>
      <c r="C562" t="s">
        <v>64</v>
      </c>
      <c r="D562" t="s">
        <v>582</v>
      </c>
    </row>
    <row r="563" spans="1:4" x14ac:dyDescent="0.25">
      <c r="A563" t="str">
        <f>"02713"</f>
        <v>02713</v>
      </c>
      <c r="B563" t="s">
        <v>720</v>
      </c>
      <c r="C563" t="s">
        <v>96</v>
      </c>
      <c r="D563" t="s">
        <v>40</v>
      </c>
    </row>
    <row r="564" spans="1:4" x14ac:dyDescent="0.25">
      <c r="A564" t="str">
        <f>"02716"</f>
        <v>02716</v>
      </c>
      <c r="B564" t="s">
        <v>721</v>
      </c>
      <c r="C564" t="s">
        <v>561</v>
      </c>
      <c r="D564" t="s">
        <v>40</v>
      </c>
    </row>
    <row r="565" spans="1:4" x14ac:dyDescent="0.25">
      <c r="A565" t="str">
        <f>"02719"</f>
        <v>02719</v>
      </c>
      <c r="B565" t="s">
        <v>722</v>
      </c>
      <c r="C565" t="s">
        <v>96</v>
      </c>
      <c r="D565" t="s">
        <v>12</v>
      </c>
    </row>
    <row r="566" spans="1:4" x14ac:dyDescent="0.25">
      <c r="A566" t="str">
        <f>"02721"</f>
        <v>02721</v>
      </c>
      <c r="B566" t="s">
        <v>723</v>
      </c>
      <c r="C566" t="s">
        <v>96</v>
      </c>
      <c r="D566" t="s">
        <v>149</v>
      </c>
    </row>
    <row r="567" spans="1:4" x14ac:dyDescent="0.25">
      <c r="A567" t="str">
        <f>"02722"</f>
        <v>02722</v>
      </c>
      <c r="B567" t="s">
        <v>724</v>
      </c>
      <c r="C567" t="s">
        <v>72</v>
      </c>
      <c r="D567" t="s">
        <v>73</v>
      </c>
    </row>
    <row r="568" spans="1:4" x14ac:dyDescent="0.25">
      <c r="A568" t="str">
        <f>"02723"</f>
        <v>02723</v>
      </c>
      <c r="B568" t="s">
        <v>725</v>
      </c>
      <c r="C568" t="s">
        <v>33</v>
      </c>
      <c r="D568" t="s">
        <v>34</v>
      </c>
    </row>
    <row r="569" spans="1:4" x14ac:dyDescent="0.25">
      <c r="A569" t="str">
        <f>"02726"</f>
        <v>02726</v>
      </c>
      <c r="B569" t="s">
        <v>726</v>
      </c>
      <c r="C569" t="s">
        <v>96</v>
      </c>
      <c r="D569" t="s">
        <v>125</v>
      </c>
    </row>
    <row r="570" spans="1:4" x14ac:dyDescent="0.25">
      <c r="A570" t="str">
        <f>"02727"</f>
        <v>02727</v>
      </c>
      <c r="B570" t="s">
        <v>727</v>
      </c>
      <c r="C570" t="s">
        <v>561</v>
      </c>
      <c r="D570" t="s">
        <v>122</v>
      </c>
    </row>
    <row r="571" spans="1:4" x14ac:dyDescent="0.25">
      <c r="A571" t="str">
        <f>"02728"</f>
        <v>02728</v>
      </c>
      <c r="B571" t="s">
        <v>728</v>
      </c>
      <c r="C571" t="s">
        <v>72</v>
      </c>
      <c r="D571" t="s">
        <v>149</v>
      </c>
    </row>
    <row r="572" spans="1:4" x14ac:dyDescent="0.25">
      <c r="A572" t="str">
        <f>"02729"</f>
        <v>02729</v>
      </c>
      <c r="B572" t="s">
        <v>729</v>
      </c>
      <c r="C572" t="s">
        <v>561</v>
      </c>
      <c r="D572" t="s">
        <v>40</v>
      </c>
    </row>
    <row r="573" spans="1:4" x14ac:dyDescent="0.25">
      <c r="A573" t="str">
        <f>"02730"</f>
        <v>02730</v>
      </c>
      <c r="B573" t="s">
        <v>730</v>
      </c>
      <c r="C573" t="s">
        <v>731</v>
      </c>
      <c r="D573" t="s">
        <v>390</v>
      </c>
    </row>
    <row r="574" spans="1:4" x14ac:dyDescent="0.25">
      <c r="A574" t="str">
        <f>"02731"</f>
        <v>02731</v>
      </c>
      <c r="B574" t="s">
        <v>732</v>
      </c>
      <c r="C574" t="s">
        <v>733</v>
      </c>
      <c r="D574" t="s">
        <v>141</v>
      </c>
    </row>
    <row r="575" spans="1:4" x14ac:dyDescent="0.25">
      <c r="A575" t="str">
        <f>"02733"</f>
        <v>02733</v>
      </c>
      <c r="B575" t="s">
        <v>734</v>
      </c>
      <c r="C575" t="s">
        <v>64</v>
      </c>
      <c r="D575" t="s">
        <v>34</v>
      </c>
    </row>
    <row r="576" spans="1:4" x14ac:dyDescent="0.25">
      <c r="A576" t="str">
        <f>"02735"</f>
        <v>02735</v>
      </c>
      <c r="B576" t="s">
        <v>735</v>
      </c>
      <c r="C576" t="s">
        <v>551</v>
      </c>
      <c r="D576" t="s">
        <v>61</v>
      </c>
    </row>
    <row r="577" spans="1:4" x14ac:dyDescent="0.25">
      <c r="A577" t="str">
        <f>"02737"</f>
        <v>02737</v>
      </c>
      <c r="B577" t="s">
        <v>736</v>
      </c>
      <c r="C577" t="s">
        <v>64</v>
      </c>
      <c r="D577" t="s">
        <v>40</v>
      </c>
    </row>
    <row r="578" spans="1:4" x14ac:dyDescent="0.25">
      <c r="A578" t="str">
        <f>"02740"</f>
        <v>02740</v>
      </c>
      <c r="B578" t="s">
        <v>737</v>
      </c>
      <c r="C578" t="s">
        <v>738</v>
      </c>
      <c r="D578" t="s">
        <v>133</v>
      </c>
    </row>
    <row r="579" spans="1:4" x14ac:dyDescent="0.25">
      <c r="A579" t="str">
        <f>"02741"</f>
        <v>02741</v>
      </c>
      <c r="B579" t="s">
        <v>739</v>
      </c>
      <c r="C579" t="s">
        <v>280</v>
      </c>
      <c r="D579" t="s">
        <v>125</v>
      </c>
    </row>
    <row r="580" spans="1:4" x14ac:dyDescent="0.25">
      <c r="A580" t="str">
        <f>"02742"</f>
        <v>02742</v>
      </c>
      <c r="B580" t="s">
        <v>740</v>
      </c>
      <c r="C580" t="s">
        <v>96</v>
      </c>
      <c r="D580" t="s">
        <v>99</v>
      </c>
    </row>
    <row r="581" spans="1:4" x14ac:dyDescent="0.25">
      <c r="A581" t="str">
        <f>"02743"</f>
        <v>02743</v>
      </c>
      <c r="B581" t="s">
        <v>741</v>
      </c>
      <c r="C581" t="s">
        <v>561</v>
      </c>
      <c r="D581" t="s">
        <v>6</v>
      </c>
    </row>
    <row r="582" spans="1:4" x14ac:dyDescent="0.25">
      <c r="A582" t="str">
        <f>"02748"</f>
        <v>02748</v>
      </c>
      <c r="B582" t="s">
        <v>742</v>
      </c>
      <c r="C582" t="s">
        <v>272</v>
      </c>
      <c r="D582" t="s">
        <v>6</v>
      </c>
    </row>
    <row r="583" spans="1:4" x14ac:dyDescent="0.25">
      <c r="A583" t="str">
        <f>"02750"</f>
        <v>02750</v>
      </c>
      <c r="B583" t="s">
        <v>743</v>
      </c>
      <c r="C583" t="s">
        <v>33</v>
      </c>
      <c r="D583" t="s">
        <v>34</v>
      </c>
    </row>
    <row r="584" spans="1:4" x14ac:dyDescent="0.25">
      <c r="A584" t="str">
        <f>"02751"</f>
        <v>02751</v>
      </c>
      <c r="B584" t="s">
        <v>744</v>
      </c>
      <c r="C584" t="s">
        <v>72</v>
      </c>
      <c r="D584" t="s">
        <v>73</v>
      </c>
    </row>
    <row r="585" spans="1:4" x14ac:dyDescent="0.25">
      <c r="A585" t="str">
        <f>"02752"</f>
        <v>02752</v>
      </c>
      <c r="B585" t="s">
        <v>745</v>
      </c>
      <c r="C585" t="s">
        <v>72</v>
      </c>
      <c r="D585" t="s">
        <v>73</v>
      </c>
    </row>
    <row r="586" spans="1:4" x14ac:dyDescent="0.25">
      <c r="A586" t="str">
        <f>"02753"</f>
        <v>02753</v>
      </c>
      <c r="B586" t="s">
        <v>746</v>
      </c>
      <c r="C586" t="s">
        <v>96</v>
      </c>
      <c r="D586" t="s">
        <v>19</v>
      </c>
    </row>
    <row r="587" spans="1:4" x14ac:dyDescent="0.25">
      <c r="A587" t="str">
        <f>"02754"</f>
        <v>02754</v>
      </c>
      <c r="B587" t="s">
        <v>747</v>
      </c>
      <c r="C587" t="s">
        <v>72</v>
      </c>
      <c r="D587" t="s">
        <v>73</v>
      </c>
    </row>
    <row r="588" spans="1:4" x14ac:dyDescent="0.25">
      <c r="A588" t="str">
        <f>"02756"</f>
        <v>02756</v>
      </c>
      <c r="B588" t="s">
        <v>748</v>
      </c>
      <c r="C588" t="s">
        <v>749</v>
      </c>
      <c r="D588" t="s">
        <v>17</v>
      </c>
    </row>
    <row r="589" spans="1:4" x14ac:dyDescent="0.25">
      <c r="A589" t="str">
        <f>"02757"</f>
        <v>02757</v>
      </c>
      <c r="B589" t="s">
        <v>750</v>
      </c>
      <c r="C589" t="s">
        <v>440</v>
      </c>
      <c r="D589" t="s">
        <v>34</v>
      </c>
    </row>
    <row r="590" spans="1:4" x14ac:dyDescent="0.25">
      <c r="A590" t="str">
        <f>"02758"</f>
        <v>02758</v>
      </c>
      <c r="B590" t="s">
        <v>751</v>
      </c>
      <c r="C590" t="s">
        <v>561</v>
      </c>
      <c r="D590" t="s">
        <v>133</v>
      </c>
    </row>
    <row r="591" spans="1:4" x14ac:dyDescent="0.25">
      <c r="A591" t="str">
        <f>"02759"</f>
        <v>02759</v>
      </c>
      <c r="B591" t="s">
        <v>752</v>
      </c>
      <c r="C591" t="s">
        <v>96</v>
      </c>
      <c r="D591" t="s">
        <v>99</v>
      </c>
    </row>
    <row r="592" spans="1:4" x14ac:dyDescent="0.25">
      <c r="A592" t="str">
        <f>"02764"</f>
        <v>02764</v>
      </c>
      <c r="B592" t="s">
        <v>753</v>
      </c>
      <c r="C592" t="s">
        <v>171</v>
      </c>
      <c r="D592" t="s">
        <v>99</v>
      </c>
    </row>
    <row r="593" spans="1:4" x14ac:dyDescent="0.25">
      <c r="A593" t="str">
        <f>"02765"</f>
        <v>02765</v>
      </c>
      <c r="B593" t="s">
        <v>754</v>
      </c>
      <c r="C593" t="s">
        <v>72</v>
      </c>
      <c r="D593" t="s">
        <v>149</v>
      </c>
    </row>
    <row r="594" spans="1:4" x14ac:dyDescent="0.25">
      <c r="A594" t="str">
        <f>"02766"</f>
        <v>02766</v>
      </c>
      <c r="B594" t="s">
        <v>755</v>
      </c>
      <c r="C594" t="s">
        <v>561</v>
      </c>
      <c r="D594" t="s">
        <v>6</v>
      </c>
    </row>
    <row r="595" spans="1:4" x14ac:dyDescent="0.25">
      <c r="A595" t="str">
        <f>"02767"</f>
        <v>02767</v>
      </c>
      <c r="B595" t="s">
        <v>756</v>
      </c>
      <c r="C595" t="s">
        <v>72</v>
      </c>
      <c r="D595" t="s">
        <v>97</v>
      </c>
    </row>
    <row r="596" spans="1:4" x14ac:dyDescent="0.25">
      <c r="A596" t="str">
        <f>"02769"</f>
        <v>02769</v>
      </c>
      <c r="B596" t="s">
        <v>757</v>
      </c>
      <c r="C596" t="s">
        <v>96</v>
      </c>
      <c r="D596" t="s">
        <v>133</v>
      </c>
    </row>
    <row r="597" spans="1:4" x14ac:dyDescent="0.25">
      <c r="A597" t="str">
        <f>"02770"</f>
        <v>02770</v>
      </c>
      <c r="B597" t="s">
        <v>758</v>
      </c>
      <c r="C597" t="s">
        <v>561</v>
      </c>
      <c r="D597" t="s">
        <v>73</v>
      </c>
    </row>
    <row r="598" spans="1:4" x14ac:dyDescent="0.25">
      <c r="A598" t="str">
        <f>"02771"</f>
        <v>02771</v>
      </c>
      <c r="B598" t="s">
        <v>759</v>
      </c>
      <c r="C598" t="s">
        <v>96</v>
      </c>
      <c r="D598" t="s">
        <v>99</v>
      </c>
    </row>
    <row r="599" spans="1:4" x14ac:dyDescent="0.25">
      <c r="A599" t="str">
        <f>"02773"</f>
        <v>02773</v>
      </c>
      <c r="B599" t="s">
        <v>760</v>
      </c>
      <c r="C599" t="s">
        <v>72</v>
      </c>
      <c r="D599" t="s">
        <v>19</v>
      </c>
    </row>
    <row r="600" spans="1:4" x14ac:dyDescent="0.25">
      <c r="A600" t="str">
        <f>"02774"</f>
        <v>02774</v>
      </c>
      <c r="B600" t="s">
        <v>761</v>
      </c>
      <c r="C600" t="s">
        <v>72</v>
      </c>
      <c r="D600" t="s">
        <v>97</v>
      </c>
    </row>
    <row r="601" spans="1:4" x14ac:dyDescent="0.25">
      <c r="A601" t="str">
        <f>"02776"</f>
        <v>02776</v>
      </c>
      <c r="B601" t="s">
        <v>762</v>
      </c>
      <c r="C601" t="s">
        <v>763</v>
      </c>
      <c r="D601" t="s">
        <v>120</v>
      </c>
    </row>
    <row r="602" spans="1:4" x14ac:dyDescent="0.25">
      <c r="A602" t="str">
        <f>"02780"</f>
        <v>02780</v>
      </c>
      <c r="B602" t="s">
        <v>764</v>
      </c>
      <c r="C602" t="s">
        <v>33</v>
      </c>
      <c r="D602" t="s">
        <v>17</v>
      </c>
    </row>
    <row r="603" spans="1:4" x14ac:dyDescent="0.25">
      <c r="A603" t="str">
        <f>"02781"</f>
        <v>02781</v>
      </c>
      <c r="B603" t="s">
        <v>765</v>
      </c>
      <c r="C603" t="s">
        <v>72</v>
      </c>
      <c r="D603" t="s">
        <v>19</v>
      </c>
    </row>
    <row r="604" spans="1:4" x14ac:dyDescent="0.25">
      <c r="A604" t="str">
        <f>"02782"</f>
        <v>02782</v>
      </c>
      <c r="B604" t="s">
        <v>766</v>
      </c>
      <c r="C604" t="s">
        <v>33</v>
      </c>
      <c r="D604" t="s">
        <v>40</v>
      </c>
    </row>
    <row r="605" spans="1:4" x14ac:dyDescent="0.25">
      <c r="A605" t="str">
        <f>"02783"</f>
        <v>02783</v>
      </c>
      <c r="B605" t="s">
        <v>767</v>
      </c>
      <c r="C605" t="s">
        <v>443</v>
      </c>
      <c r="D605" t="s">
        <v>120</v>
      </c>
    </row>
    <row r="606" spans="1:4" x14ac:dyDescent="0.25">
      <c r="A606" t="str">
        <f>"02784"</f>
        <v>02784</v>
      </c>
      <c r="B606" t="s">
        <v>768</v>
      </c>
      <c r="C606" t="s">
        <v>64</v>
      </c>
      <c r="D606" t="s">
        <v>411</v>
      </c>
    </row>
    <row r="607" spans="1:4" x14ac:dyDescent="0.25">
      <c r="A607" t="str">
        <f>"02785"</f>
        <v>02785</v>
      </c>
      <c r="B607" t="s">
        <v>769</v>
      </c>
      <c r="C607" t="s">
        <v>72</v>
      </c>
      <c r="D607" t="s">
        <v>99</v>
      </c>
    </row>
    <row r="608" spans="1:4" x14ac:dyDescent="0.25">
      <c r="A608" t="str">
        <f>"02787"</f>
        <v>02787</v>
      </c>
      <c r="B608" t="s">
        <v>770</v>
      </c>
      <c r="C608" t="s">
        <v>72</v>
      </c>
      <c r="D608" t="s">
        <v>99</v>
      </c>
    </row>
    <row r="609" spans="1:4" x14ac:dyDescent="0.25">
      <c r="A609" t="str">
        <f>"02790"</f>
        <v>02790</v>
      </c>
      <c r="B609" t="s">
        <v>771</v>
      </c>
      <c r="C609" t="s">
        <v>64</v>
      </c>
      <c r="D609" t="s">
        <v>189</v>
      </c>
    </row>
    <row r="610" spans="1:4" x14ac:dyDescent="0.25">
      <c r="A610" t="str">
        <f>"02793"</f>
        <v>02793</v>
      </c>
      <c r="B610" t="s">
        <v>772</v>
      </c>
      <c r="C610" t="s">
        <v>72</v>
      </c>
      <c r="D610" t="s">
        <v>287</v>
      </c>
    </row>
    <row r="611" spans="1:4" x14ac:dyDescent="0.25">
      <c r="A611" t="str">
        <f>"02796"</f>
        <v>02796</v>
      </c>
      <c r="B611" t="s">
        <v>773</v>
      </c>
      <c r="C611" t="s">
        <v>72</v>
      </c>
      <c r="D611" t="s">
        <v>99</v>
      </c>
    </row>
    <row r="612" spans="1:4" x14ac:dyDescent="0.25">
      <c r="A612" t="str">
        <f>"02797"</f>
        <v>02797</v>
      </c>
      <c r="B612" t="s">
        <v>774</v>
      </c>
      <c r="C612" t="s">
        <v>96</v>
      </c>
      <c r="D612" t="s">
        <v>122</v>
      </c>
    </row>
    <row r="613" spans="1:4" x14ac:dyDescent="0.25">
      <c r="A613" t="str">
        <f>"02801"</f>
        <v>02801</v>
      </c>
      <c r="B613" t="s">
        <v>775</v>
      </c>
      <c r="C613" t="s">
        <v>72</v>
      </c>
      <c r="D613" t="s">
        <v>287</v>
      </c>
    </row>
    <row r="614" spans="1:4" x14ac:dyDescent="0.25">
      <c r="A614" t="str">
        <f>"02802"</f>
        <v>02802</v>
      </c>
      <c r="B614" t="s">
        <v>776</v>
      </c>
      <c r="C614" t="s">
        <v>33</v>
      </c>
      <c r="D614" t="s">
        <v>469</v>
      </c>
    </row>
    <row r="615" spans="1:4" x14ac:dyDescent="0.25">
      <c r="A615" t="str">
        <f>"02803"</f>
        <v>02803</v>
      </c>
      <c r="B615" t="s">
        <v>777</v>
      </c>
      <c r="C615" t="s">
        <v>671</v>
      </c>
      <c r="D615" t="s">
        <v>73</v>
      </c>
    </row>
    <row r="616" spans="1:4" x14ac:dyDescent="0.25">
      <c r="A616" t="str">
        <f>"02804"</f>
        <v>02804</v>
      </c>
      <c r="B616" t="s">
        <v>778</v>
      </c>
      <c r="C616" t="s">
        <v>72</v>
      </c>
      <c r="D616" t="s">
        <v>73</v>
      </c>
    </row>
    <row r="617" spans="1:4" x14ac:dyDescent="0.25">
      <c r="A617" t="str">
        <f>"02805"</f>
        <v>02805</v>
      </c>
      <c r="B617" t="s">
        <v>779</v>
      </c>
      <c r="C617" t="s">
        <v>96</v>
      </c>
      <c r="D617" t="s">
        <v>99</v>
      </c>
    </row>
    <row r="618" spans="1:4" x14ac:dyDescent="0.25">
      <c r="A618" t="str">
        <f>"02807"</f>
        <v>02807</v>
      </c>
      <c r="B618" t="s">
        <v>780</v>
      </c>
      <c r="C618" t="s">
        <v>561</v>
      </c>
      <c r="D618" t="s">
        <v>12</v>
      </c>
    </row>
    <row r="619" spans="1:4" x14ac:dyDescent="0.25">
      <c r="A619" t="str">
        <f>"02811"</f>
        <v>02811</v>
      </c>
      <c r="B619" t="s">
        <v>781</v>
      </c>
      <c r="C619" t="s">
        <v>96</v>
      </c>
      <c r="D619" t="s">
        <v>176</v>
      </c>
    </row>
    <row r="620" spans="1:4" x14ac:dyDescent="0.25">
      <c r="A620" t="str">
        <f>"02815"</f>
        <v>02815</v>
      </c>
      <c r="B620" t="s">
        <v>782</v>
      </c>
      <c r="C620" t="s">
        <v>72</v>
      </c>
      <c r="D620" t="s">
        <v>40</v>
      </c>
    </row>
    <row r="621" spans="1:4" x14ac:dyDescent="0.25">
      <c r="A621" t="str">
        <f>"02816"</f>
        <v>02816</v>
      </c>
      <c r="B621" t="s">
        <v>783</v>
      </c>
      <c r="C621" t="s">
        <v>285</v>
      </c>
      <c r="D621" t="s">
        <v>28</v>
      </c>
    </row>
    <row r="622" spans="1:4" x14ac:dyDescent="0.25">
      <c r="A622" t="str">
        <f>"02817"</f>
        <v>02817</v>
      </c>
      <c r="B622" t="s">
        <v>784</v>
      </c>
      <c r="C622" t="s">
        <v>324</v>
      </c>
      <c r="D622" t="s">
        <v>109</v>
      </c>
    </row>
    <row r="623" spans="1:4" x14ac:dyDescent="0.25">
      <c r="A623" t="str">
        <f>"02818"</f>
        <v>02818</v>
      </c>
      <c r="B623" t="s">
        <v>785</v>
      </c>
      <c r="C623" t="s">
        <v>561</v>
      </c>
      <c r="D623" t="s">
        <v>75</v>
      </c>
    </row>
    <row r="624" spans="1:4" x14ac:dyDescent="0.25">
      <c r="A624" t="str">
        <f>"02820"</f>
        <v>02820</v>
      </c>
      <c r="B624" t="s">
        <v>786</v>
      </c>
      <c r="C624" t="s">
        <v>96</v>
      </c>
      <c r="D624" t="s">
        <v>85</v>
      </c>
    </row>
    <row r="625" spans="1:4" x14ac:dyDescent="0.25">
      <c r="A625" t="str">
        <f>"02822"</f>
        <v>02822</v>
      </c>
      <c r="B625" t="s">
        <v>787</v>
      </c>
      <c r="C625" t="s">
        <v>477</v>
      </c>
      <c r="D625" t="s">
        <v>133</v>
      </c>
    </row>
    <row r="626" spans="1:4" x14ac:dyDescent="0.25">
      <c r="A626" t="str">
        <f>"02823"</f>
        <v>02823</v>
      </c>
      <c r="B626" t="s">
        <v>788</v>
      </c>
      <c r="C626" t="s">
        <v>72</v>
      </c>
      <c r="D626" t="s">
        <v>411</v>
      </c>
    </row>
    <row r="627" spans="1:4" x14ac:dyDescent="0.25">
      <c r="A627" t="str">
        <f>"02824"</f>
        <v>02824</v>
      </c>
      <c r="B627" t="s">
        <v>789</v>
      </c>
      <c r="C627" t="s">
        <v>561</v>
      </c>
      <c r="D627" t="s">
        <v>411</v>
      </c>
    </row>
    <row r="628" spans="1:4" x14ac:dyDescent="0.25">
      <c r="A628" t="str">
        <f>"02825"</f>
        <v>02825</v>
      </c>
      <c r="B628" t="s">
        <v>790</v>
      </c>
      <c r="C628" t="s">
        <v>96</v>
      </c>
      <c r="D628" t="s">
        <v>75</v>
      </c>
    </row>
    <row r="629" spans="1:4" x14ac:dyDescent="0.25">
      <c r="A629" t="str">
        <f>"02827"</f>
        <v>02827</v>
      </c>
      <c r="B629" t="s">
        <v>791</v>
      </c>
      <c r="C629" t="s">
        <v>202</v>
      </c>
      <c r="D629" t="s">
        <v>149</v>
      </c>
    </row>
    <row r="630" spans="1:4" x14ac:dyDescent="0.25">
      <c r="A630" t="str">
        <f>"02829"</f>
        <v>02829</v>
      </c>
      <c r="B630" t="s">
        <v>792</v>
      </c>
      <c r="C630" t="s">
        <v>561</v>
      </c>
      <c r="D630" t="s">
        <v>73</v>
      </c>
    </row>
    <row r="631" spans="1:4" x14ac:dyDescent="0.25">
      <c r="A631" t="str">
        <f>"02831"</f>
        <v>02831</v>
      </c>
      <c r="B631" t="s">
        <v>793</v>
      </c>
      <c r="C631" t="s">
        <v>72</v>
      </c>
      <c r="D631" t="s">
        <v>411</v>
      </c>
    </row>
    <row r="632" spans="1:4" x14ac:dyDescent="0.25">
      <c r="A632" t="str">
        <f>"02833"</f>
        <v>02833</v>
      </c>
      <c r="B632" t="s">
        <v>794</v>
      </c>
      <c r="C632" t="s">
        <v>96</v>
      </c>
      <c r="D632" t="s">
        <v>125</v>
      </c>
    </row>
    <row r="633" spans="1:4" x14ac:dyDescent="0.25">
      <c r="A633" t="str">
        <f>"02834"</f>
        <v>02834</v>
      </c>
      <c r="B633" t="s">
        <v>795</v>
      </c>
      <c r="C633" t="s">
        <v>72</v>
      </c>
      <c r="D633" t="s">
        <v>73</v>
      </c>
    </row>
    <row r="634" spans="1:4" x14ac:dyDescent="0.25">
      <c r="A634" t="str">
        <f>"02835"</f>
        <v>02835</v>
      </c>
      <c r="B634" t="s">
        <v>796</v>
      </c>
      <c r="C634" t="s">
        <v>96</v>
      </c>
      <c r="D634" t="s">
        <v>40</v>
      </c>
    </row>
    <row r="635" spans="1:4" x14ac:dyDescent="0.25">
      <c r="A635" t="str">
        <f>"02841"</f>
        <v>02841</v>
      </c>
      <c r="B635" t="s">
        <v>797</v>
      </c>
      <c r="C635" t="s">
        <v>72</v>
      </c>
      <c r="D635" t="s">
        <v>19</v>
      </c>
    </row>
    <row r="636" spans="1:4" x14ac:dyDescent="0.25">
      <c r="A636" t="str">
        <f>"02842"</f>
        <v>02842</v>
      </c>
      <c r="B636" t="s">
        <v>798</v>
      </c>
      <c r="C636" t="s">
        <v>72</v>
      </c>
      <c r="D636" t="s">
        <v>73</v>
      </c>
    </row>
    <row r="637" spans="1:4" x14ac:dyDescent="0.25">
      <c r="A637" t="str">
        <f>"02843"</f>
        <v>02843</v>
      </c>
      <c r="B637" t="s">
        <v>799</v>
      </c>
      <c r="C637" t="s">
        <v>72</v>
      </c>
      <c r="D637" t="s">
        <v>73</v>
      </c>
    </row>
    <row r="638" spans="1:4" x14ac:dyDescent="0.25">
      <c r="A638" t="str">
        <f>"02846"</f>
        <v>02846</v>
      </c>
      <c r="B638" t="s">
        <v>800</v>
      </c>
      <c r="C638" t="s">
        <v>72</v>
      </c>
      <c r="D638" t="s">
        <v>19</v>
      </c>
    </row>
    <row r="639" spans="1:4" x14ac:dyDescent="0.25">
      <c r="A639" t="str">
        <f>"02851"</f>
        <v>02851</v>
      </c>
      <c r="B639" t="s">
        <v>801</v>
      </c>
      <c r="C639" t="s">
        <v>72</v>
      </c>
      <c r="D639" t="s">
        <v>75</v>
      </c>
    </row>
    <row r="640" spans="1:4" x14ac:dyDescent="0.25">
      <c r="A640" t="str">
        <f>"02852"</f>
        <v>02852</v>
      </c>
      <c r="B640" t="s">
        <v>802</v>
      </c>
      <c r="C640" t="s">
        <v>803</v>
      </c>
      <c r="D640" t="s">
        <v>149</v>
      </c>
    </row>
    <row r="641" spans="1:4" x14ac:dyDescent="0.25">
      <c r="A641" t="str">
        <f>"02853"</f>
        <v>02853</v>
      </c>
      <c r="B641" t="s">
        <v>804</v>
      </c>
      <c r="C641" t="s">
        <v>72</v>
      </c>
      <c r="D641" t="s">
        <v>19</v>
      </c>
    </row>
    <row r="642" spans="1:4" x14ac:dyDescent="0.25">
      <c r="A642" t="str">
        <f>"02855"</f>
        <v>02855</v>
      </c>
      <c r="B642" t="s">
        <v>805</v>
      </c>
      <c r="C642" t="s">
        <v>96</v>
      </c>
      <c r="D642" t="s">
        <v>91</v>
      </c>
    </row>
    <row r="643" spans="1:4" x14ac:dyDescent="0.25">
      <c r="A643" t="str">
        <f>"02858"</f>
        <v>02858</v>
      </c>
      <c r="B643" t="s">
        <v>806</v>
      </c>
      <c r="C643" t="s">
        <v>807</v>
      </c>
      <c r="D643" t="s">
        <v>9</v>
      </c>
    </row>
    <row r="644" spans="1:4" x14ac:dyDescent="0.25">
      <c r="A644" t="str">
        <f>"02859"</f>
        <v>02859</v>
      </c>
      <c r="B644" t="s">
        <v>808</v>
      </c>
      <c r="C644" t="s">
        <v>664</v>
      </c>
      <c r="D644" t="s">
        <v>9</v>
      </c>
    </row>
    <row r="645" spans="1:4" x14ac:dyDescent="0.25">
      <c r="A645" t="str">
        <f>"02861"</f>
        <v>02861</v>
      </c>
      <c r="B645" t="s">
        <v>809</v>
      </c>
      <c r="C645" t="s">
        <v>561</v>
      </c>
      <c r="D645" t="s">
        <v>75</v>
      </c>
    </row>
    <row r="646" spans="1:4" x14ac:dyDescent="0.25">
      <c r="A646" t="str">
        <f>"02863"</f>
        <v>02863</v>
      </c>
      <c r="B646" t="s">
        <v>810</v>
      </c>
      <c r="C646" t="s">
        <v>175</v>
      </c>
      <c r="D646" t="s">
        <v>73</v>
      </c>
    </row>
    <row r="647" spans="1:4" x14ac:dyDescent="0.25">
      <c r="A647" t="str">
        <f>"02866"</f>
        <v>02866</v>
      </c>
      <c r="B647" t="s">
        <v>811</v>
      </c>
      <c r="C647" t="s">
        <v>22</v>
      </c>
      <c r="D647" t="s">
        <v>23</v>
      </c>
    </row>
    <row r="648" spans="1:4" x14ac:dyDescent="0.25">
      <c r="A648" t="str">
        <f>"02867"</f>
        <v>02867</v>
      </c>
      <c r="B648" t="s">
        <v>812</v>
      </c>
      <c r="C648" t="s">
        <v>22</v>
      </c>
      <c r="D648" t="s">
        <v>411</v>
      </c>
    </row>
    <row r="649" spans="1:4" x14ac:dyDescent="0.25">
      <c r="A649" t="str">
        <f>"02869"</f>
        <v>02869</v>
      </c>
      <c r="B649" t="s">
        <v>813</v>
      </c>
      <c r="C649" t="s">
        <v>683</v>
      </c>
      <c r="D649" t="s">
        <v>58</v>
      </c>
    </row>
    <row r="650" spans="1:4" x14ac:dyDescent="0.25">
      <c r="A650" t="str">
        <f>"02870"</f>
        <v>02870</v>
      </c>
      <c r="B650" t="s">
        <v>814</v>
      </c>
      <c r="C650" t="s">
        <v>22</v>
      </c>
      <c r="D650" t="s">
        <v>141</v>
      </c>
    </row>
    <row r="651" spans="1:4" x14ac:dyDescent="0.25">
      <c r="A651" t="str">
        <f>"02871"</f>
        <v>02871</v>
      </c>
      <c r="B651" t="s">
        <v>815</v>
      </c>
      <c r="C651" t="s">
        <v>22</v>
      </c>
      <c r="D651" t="s">
        <v>390</v>
      </c>
    </row>
    <row r="652" spans="1:4" x14ac:dyDescent="0.25">
      <c r="A652" t="str">
        <f>"02872"</f>
        <v>02872</v>
      </c>
      <c r="B652" t="s">
        <v>816</v>
      </c>
      <c r="C652" t="s">
        <v>664</v>
      </c>
      <c r="D652" t="s">
        <v>9</v>
      </c>
    </row>
    <row r="653" spans="1:4" x14ac:dyDescent="0.25">
      <c r="A653" t="str">
        <f>"02873"</f>
        <v>02873</v>
      </c>
      <c r="B653" t="s">
        <v>817</v>
      </c>
      <c r="C653" t="s">
        <v>64</v>
      </c>
      <c r="D653" t="s">
        <v>156</v>
      </c>
    </row>
    <row r="654" spans="1:4" x14ac:dyDescent="0.25">
      <c r="A654" t="str">
        <f>"02877"</f>
        <v>02877</v>
      </c>
      <c r="B654" t="s">
        <v>818</v>
      </c>
      <c r="C654" t="s">
        <v>52</v>
      </c>
      <c r="D654" t="s">
        <v>85</v>
      </c>
    </row>
    <row r="655" spans="1:4" x14ac:dyDescent="0.25">
      <c r="A655" t="str">
        <f>"02878"</f>
        <v>02878</v>
      </c>
      <c r="B655" t="s">
        <v>819</v>
      </c>
      <c r="C655" t="s">
        <v>52</v>
      </c>
      <c r="D655" t="s">
        <v>85</v>
      </c>
    </row>
    <row r="656" spans="1:4" x14ac:dyDescent="0.25">
      <c r="A656" t="str">
        <f>"02879"</f>
        <v>02879</v>
      </c>
      <c r="B656" t="s">
        <v>820</v>
      </c>
      <c r="C656" t="s">
        <v>378</v>
      </c>
      <c r="D656" t="s">
        <v>12</v>
      </c>
    </row>
    <row r="657" spans="1:4" x14ac:dyDescent="0.25">
      <c r="A657" t="str">
        <f>"02880"</f>
        <v>02880</v>
      </c>
      <c r="B657" t="s">
        <v>821</v>
      </c>
      <c r="C657" t="s">
        <v>159</v>
      </c>
      <c r="D657" t="s">
        <v>31</v>
      </c>
    </row>
    <row r="658" spans="1:4" x14ac:dyDescent="0.25">
      <c r="A658" t="str">
        <f>"02881"</f>
        <v>02881</v>
      </c>
      <c r="B658" t="s">
        <v>822</v>
      </c>
      <c r="C658" t="s">
        <v>510</v>
      </c>
      <c r="D658" t="s">
        <v>75</v>
      </c>
    </row>
    <row r="659" spans="1:4" x14ac:dyDescent="0.25">
      <c r="A659" t="str">
        <f>"02886"</f>
        <v>02886</v>
      </c>
      <c r="B659" t="s">
        <v>823</v>
      </c>
      <c r="C659" t="s">
        <v>330</v>
      </c>
      <c r="D659" t="s">
        <v>109</v>
      </c>
    </row>
    <row r="660" spans="1:4" x14ac:dyDescent="0.25">
      <c r="A660" t="str">
        <f>"02892"</f>
        <v>02892</v>
      </c>
      <c r="B660" t="s">
        <v>824</v>
      </c>
      <c r="C660" t="s">
        <v>64</v>
      </c>
      <c r="D660" t="s">
        <v>189</v>
      </c>
    </row>
    <row r="661" spans="1:4" x14ac:dyDescent="0.25">
      <c r="A661" t="str">
        <f>"02893"</f>
        <v>02893</v>
      </c>
      <c r="B661" t="s">
        <v>825</v>
      </c>
      <c r="C661" t="s">
        <v>64</v>
      </c>
      <c r="D661" t="s">
        <v>189</v>
      </c>
    </row>
    <row r="662" spans="1:4" x14ac:dyDescent="0.25">
      <c r="A662" t="str">
        <f>"02896"</f>
        <v>02896</v>
      </c>
      <c r="B662" t="s">
        <v>826</v>
      </c>
      <c r="C662" t="s">
        <v>22</v>
      </c>
      <c r="D662" t="s">
        <v>23</v>
      </c>
    </row>
    <row r="663" spans="1:4" x14ac:dyDescent="0.25">
      <c r="A663" t="str">
        <f>"02898"</f>
        <v>02898</v>
      </c>
      <c r="B663" t="s">
        <v>827</v>
      </c>
      <c r="C663" t="s">
        <v>72</v>
      </c>
      <c r="D663" t="s">
        <v>149</v>
      </c>
    </row>
    <row r="664" spans="1:4" x14ac:dyDescent="0.25">
      <c r="A664" t="str">
        <f>"02900"</f>
        <v>02900</v>
      </c>
      <c r="B664" t="s">
        <v>828</v>
      </c>
      <c r="C664" t="s">
        <v>72</v>
      </c>
      <c r="D664" t="s">
        <v>73</v>
      </c>
    </row>
    <row r="665" spans="1:4" x14ac:dyDescent="0.25">
      <c r="A665" t="str">
        <f>"02902"</f>
        <v>02902</v>
      </c>
      <c r="B665" t="s">
        <v>829</v>
      </c>
      <c r="C665" t="s">
        <v>159</v>
      </c>
      <c r="D665" t="s">
        <v>31</v>
      </c>
    </row>
    <row r="666" spans="1:4" x14ac:dyDescent="0.25">
      <c r="A666" t="str">
        <f>"02903"</f>
        <v>02903</v>
      </c>
      <c r="B666" t="s">
        <v>830</v>
      </c>
      <c r="C666" t="s">
        <v>159</v>
      </c>
      <c r="D666" t="s">
        <v>31</v>
      </c>
    </row>
    <row r="667" spans="1:4" x14ac:dyDescent="0.25">
      <c r="A667" t="str">
        <f>"02905"</f>
        <v>02905</v>
      </c>
      <c r="B667" t="s">
        <v>831</v>
      </c>
      <c r="C667" t="s">
        <v>52</v>
      </c>
      <c r="D667" t="s">
        <v>80</v>
      </c>
    </row>
    <row r="668" spans="1:4" x14ac:dyDescent="0.25">
      <c r="A668" t="str">
        <f>"02906"</f>
        <v>02906</v>
      </c>
      <c r="B668" t="s">
        <v>832</v>
      </c>
      <c r="C668" t="s">
        <v>171</v>
      </c>
      <c r="D668" t="s">
        <v>73</v>
      </c>
    </row>
    <row r="669" spans="1:4" x14ac:dyDescent="0.25">
      <c r="A669" t="str">
        <f>"02908"</f>
        <v>02908</v>
      </c>
      <c r="B669" t="s">
        <v>833</v>
      </c>
      <c r="C669" t="s">
        <v>671</v>
      </c>
      <c r="D669" t="s">
        <v>73</v>
      </c>
    </row>
    <row r="670" spans="1:4" x14ac:dyDescent="0.25">
      <c r="A670" t="str">
        <f>"02910"</f>
        <v>02910</v>
      </c>
      <c r="B670" t="s">
        <v>834</v>
      </c>
      <c r="C670" t="s">
        <v>52</v>
      </c>
      <c r="D670" t="s">
        <v>122</v>
      </c>
    </row>
    <row r="671" spans="1:4" x14ac:dyDescent="0.25">
      <c r="A671" t="str">
        <f>"02913"</f>
        <v>02913</v>
      </c>
      <c r="B671" t="s">
        <v>835</v>
      </c>
      <c r="C671" t="s">
        <v>72</v>
      </c>
      <c r="D671" t="s">
        <v>73</v>
      </c>
    </row>
    <row r="672" spans="1:4" x14ac:dyDescent="0.25">
      <c r="A672" t="str">
        <f>"02915"</f>
        <v>02915</v>
      </c>
      <c r="B672" t="s">
        <v>836</v>
      </c>
      <c r="C672" t="s">
        <v>837</v>
      </c>
      <c r="D672" t="s">
        <v>40</v>
      </c>
    </row>
    <row r="673" spans="1:4" x14ac:dyDescent="0.25">
      <c r="A673" t="str">
        <f>"02916"</f>
        <v>02916</v>
      </c>
      <c r="B673" t="s">
        <v>838</v>
      </c>
      <c r="C673" t="s">
        <v>96</v>
      </c>
      <c r="D673" t="s">
        <v>85</v>
      </c>
    </row>
    <row r="674" spans="1:4" x14ac:dyDescent="0.25">
      <c r="A674" t="str">
        <f>"02918"</f>
        <v>02918</v>
      </c>
      <c r="B674" t="s">
        <v>839</v>
      </c>
      <c r="C674" t="s">
        <v>96</v>
      </c>
      <c r="D674" t="s">
        <v>133</v>
      </c>
    </row>
    <row r="675" spans="1:4" x14ac:dyDescent="0.25">
      <c r="A675" t="str">
        <f>"02919"</f>
        <v>02919</v>
      </c>
      <c r="B675" t="s">
        <v>840</v>
      </c>
      <c r="C675" t="s">
        <v>44</v>
      </c>
      <c r="D675" t="s">
        <v>12</v>
      </c>
    </row>
    <row r="676" spans="1:4" x14ac:dyDescent="0.25">
      <c r="A676" t="str">
        <f>"02921"</f>
        <v>02921</v>
      </c>
      <c r="B676" t="s">
        <v>841</v>
      </c>
      <c r="C676" t="s">
        <v>72</v>
      </c>
      <c r="D676" t="s">
        <v>149</v>
      </c>
    </row>
    <row r="677" spans="1:4" x14ac:dyDescent="0.25">
      <c r="A677" t="str">
        <f>"02922"</f>
        <v>02922</v>
      </c>
      <c r="B677" t="s">
        <v>842</v>
      </c>
      <c r="C677" t="s">
        <v>111</v>
      </c>
      <c r="D677" t="s">
        <v>133</v>
      </c>
    </row>
    <row r="678" spans="1:4" x14ac:dyDescent="0.25">
      <c r="A678" t="str">
        <f>"02923"</f>
        <v>02923</v>
      </c>
      <c r="B678" t="s">
        <v>843</v>
      </c>
      <c r="C678" t="s">
        <v>551</v>
      </c>
      <c r="D678" t="s">
        <v>73</v>
      </c>
    </row>
    <row r="679" spans="1:4" x14ac:dyDescent="0.25">
      <c r="A679" t="str">
        <f>"02924"</f>
        <v>02924</v>
      </c>
      <c r="B679" t="s">
        <v>844</v>
      </c>
      <c r="C679" t="s">
        <v>64</v>
      </c>
      <c r="D679" t="s">
        <v>102</v>
      </c>
    </row>
    <row r="680" spans="1:4" x14ac:dyDescent="0.25">
      <c r="A680" t="str">
        <f>"02926"</f>
        <v>02926</v>
      </c>
      <c r="B680" t="s">
        <v>845</v>
      </c>
      <c r="C680" t="s">
        <v>175</v>
      </c>
      <c r="D680" t="s">
        <v>73</v>
      </c>
    </row>
    <row r="681" spans="1:4" x14ac:dyDescent="0.25">
      <c r="A681" t="str">
        <f>"02928"</f>
        <v>02928</v>
      </c>
      <c r="B681" t="s">
        <v>846</v>
      </c>
      <c r="C681" t="s">
        <v>22</v>
      </c>
      <c r="D681" t="s">
        <v>102</v>
      </c>
    </row>
    <row r="682" spans="1:4" x14ac:dyDescent="0.25">
      <c r="A682" t="str">
        <f>"02929"</f>
        <v>02929</v>
      </c>
      <c r="B682" t="s">
        <v>847</v>
      </c>
      <c r="C682" t="s">
        <v>64</v>
      </c>
      <c r="D682" t="s">
        <v>287</v>
      </c>
    </row>
    <row r="683" spans="1:4" x14ac:dyDescent="0.25">
      <c r="A683" t="str">
        <f>"02932"</f>
        <v>02932</v>
      </c>
      <c r="B683" t="s">
        <v>848</v>
      </c>
      <c r="C683" t="s">
        <v>671</v>
      </c>
      <c r="D683" t="s">
        <v>149</v>
      </c>
    </row>
    <row r="684" spans="1:4" x14ac:dyDescent="0.25">
      <c r="A684" t="str">
        <f>"02934"</f>
        <v>02934</v>
      </c>
      <c r="B684" t="s">
        <v>849</v>
      </c>
      <c r="C684" t="s">
        <v>96</v>
      </c>
      <c r="D684" t="s">
        <v>149</v>
      </c>
    </row>
    <row r="685" spans="1:4" x14ac:dyDescent="0.25">
      <c r="A685" t="str">
        <f>"02935"</f>
        <v>02935</v>
      </c>
      <c r="B685" t="s">
        <v>850</v>
      </c>
      <c r="C685" t="s">
        <v>671</v>
      </c>
      <c r="D685" t="s">
        <v>149</v>
      </c>
    </row>
    <row r="686" spans="1:4" x14ac:dyDescent="0.25">
      <c r="A686" t="str">
        <f>"02936"</f>
        <v>02936</v>
      </c>
      <c r="B686" t="s">
        <v>851</v>
      </c>
      <c r="C686" t="s">
        <v>171</v>
      </c>
      <c r="D686" t="s">
        <v>149</v>
      </c>
    </row>
    <row r="687" spans="1:4" x14ac:dyDescent="0.25">
      <c r="A687" t="str">
        <f>"02938"</f>
        <v>02938</v>
      </c>
      <c r="B687" t="s">
        <v>852</v>
      </c>
      <c r="C687" t="s">
        <v>853</v>
      </c>
      <c r="D687" t="s">
        <v>292</v>
      </c>
    </row>
    <row r="688" spans="1:4" x14ac:dyDescent="0.25">
      <c r="A688" t="str">
        <f>"02939"</f>
        <v>02939</v>
      </c>
      <c r="B688" t="s">
        <v>854</v>
      </c>
      <c r="C688" t="s">
        <v>855</v>
      </c>
      <c r="D688" t="s">
        <v>73</v>
      </c>
    </row>
    <row r="689" spans="1:4" x14ac:dyDescent="0.25">
      <c r="A689" t="str">
        <f>"02940"</f>
        <v>02940</v>
      </c>
      <c r="B689" t="s">
        <v>856</v>
      </c>
      <c r="C689" t="s">
        <v>671</v>
      </c>
      <c r="D689" t="s">
        <v>149</v>
      </c>
    </row>
    <row r="690" spans="1:4" x14ac:dyDescent="0.25">
      <c r="A690" t="str">
        <f>"02941"</f>
        <v>02941</v>
      </c>
      <c r="B690" t="s">
        <v>857</v>
      </c>
      <c r="C690" t="s">
        <v>72</v>
      </c>
      <c r="D690" t="s">
        <v>73</v>
      </c>
    </row>
    <row r="691" spans="1:4" x14ac:dyDescent="0.25">
      <c r="A691" t="str">
        <f>"02942"</f>
        <v>02942</v>
      </c>
      <c r="B691" t="s">
        <v>858</v>
      </c>
      <c r="C691" t="s">
        <v>72</v>
      </c>
      <c r="D691" t="s">
        <v>65</v>
      </c>
    </row>
    <row r="692" spans="1:4" x14ac:dyDescent="0.25">
      <c r="A692" t="str">
        <f>"02943"</f>
        <v>02943</v>
      </c>
      <c r="B692" t="s">
        <v>859</v>
      </c>
      <c r="C692" t="s">
        <v>855</v>
      </c>
      <c r="D692" t="s">
        <v>73</v>
      </c>
    </row>
    <row r="693" spans="1:4" x14ac:dyDescent="0.25">
      <c r="A693" t="str">
        <f>"02944"</f>
        <v>02944</v>
      </c>
      <c r="B693" t="s">
        <v>860</v>
      </c>
      <c r="C693" t="s">
        <v>22</v>
      </c>
      <c r="D693" t="s">
        <v>75</v>
      </c>
    </row>
    <row r="694" spans="1:4" x14ac:dyDescent="0.25">
      <c r="A694" t="str">
        <f>"02947"</f>
        <v>02947</v>
      </c>
      <c r="B694" t="s">
        <v>861</v>
      </c>
      <c r="C694" t="s">
        <v>561</v>
      </c>
      <c r="D694" t="s">
        <v>149</v>
      </c>
    </row>
    <row r="695" spans="1:4" x14ac:dyDescent="0.25">
      <c r="A695" t="str">
        <f>"02948"</f>
        <v>02948</v>
      </c>
      <c r="B695" t="s">
        <v>862</v>
      </c>
      <c r="C695" t="s">
        <v>863</v>
      </c>
      <c r="D695" t="s">
        <v>120</v>
      </c>
    </row>
    <row r="696" spans="1:4" x14ac:dyDescent="0.25">
      <c r="A696" t="str">
        <f>"02949"</f>
        <v>02949</v>
      </c>
      <c r="B696" t="s">
        <v>864</v>
      </c>
      <c r="C696" t="s">
        <v>64</v>
      </c>
      <c r="D696" t="s">
        <v>67</v>
      </c>
    </row>
    <row r="697" spans="1:4" x14ac:dyDescent="0.25">
      <c r="A697" t="str">
        <f>"02951"</f>
        <v>02951</v>
      </c>
      <c r="B697" t="s">
        <v>865</v>
      </c>
      <c r="C697" t="s">
        <v>64</v>
      </c>
      <c r="D697" t="s">
        <v>17</v>
      </c>
    </row>
    <row r="698" spans="1:4" x14ac:dyDescent="0.25">
      <c r="A698" t="str">
        <f>"02952"</f>
        <v>02952</v>
      </c>
      <c r="B698" t="s">
        <v>866</v>
      </c>
      <c r="C698" t="s">
        <v>671</v>
      </c>
      <c r="D698" t="s">
        <v>149</v>
      </c>
    </row>
    <row r="699" spans="1:4" x14ac:dyDescent="0.25">
      <c r="A699" t="str">
        <f>"02953"</f>
        <v>02953</v>
      </c>
      <c r="B699" t="s">
        <v>867</v>
      </c>
      <c r="C699" t="s">
        <v>79</v>
      </c>
      <c r="D699" t="s">
        <v>582</v>
      </c>
    </row>
    <row r="700" spans="1:4" x14ac:dyDescent="0.25">
      <c r="A700" t="str">
        <f>"02954"</f>
        <v>02954</v>
      </c>
      <c r="B700" t="s">
        <v>868</v>
      </c>
      <c r="C700" t="s">
        <v>193</v>
      </c>
      <c r="D700" t="s">
        <v>176</v>
      </c>
    </row>
    <row r="701" spans="1:4" x14ac:dyDescent="0.25">
      <c r="A701" t="str">
        <f>"02955"</f>
        <v>02955</v>
      </c>
      <c r="B701" t="s">
        <v>869</v>
      </c>
      <c r="C701" t="s">
        <v>79</v>
      </c>
      <c r="D701" t="s">
        <v>80</v>
      </c>
    </row>
    <row r="702" spans="1:4" x14ac:dyDescent="0.25">
      <c r="A702" t="str">
        <f>"02958"</f>
        <v>02958</v>
      </c>
      <c r="B702" t="s">
        <v>870</v>
      </c>
      <c r="C702" t="s">
        <v>443</v>
      </c>
      <c r="D702" t="s">
        <v>120</v>
      </c>
    </row>
    <row r="703" spans="1:4" x14ac:dyDescent="0.25">
      <c r="A703" t="str">
        <f>"02959"</f>
        <v>02959</v>
      </c>
      <c r="B703" t="s">
        <v>871</v>
      </c>
      <c r="C703" t="s">
        <v>853</v>
      </c>
      <c r="D703" t="s">
        <v>292</v>
      </c>
    </row>
    <row r="704" spans="1:4" x14ac:dyDescent="0.25">
      <c r="A704" t="str">
        <f>"02963"</f>
        <v>02963</v>
      </c>
      <c r="B704" t="s">
        <v>872</v>
      </c>
      <c r="C704" t="s">
        <v>72</v>
      </c>
      <c r="D704" t="s">
        <v>582</v>
      </c>
    </row>
    <row r="705" spans="1:4" x14ac:dyDescent="0.25">
      <c r="A705" t="str">
        <f>"02965"</f>
        <v>02965</v>
      </c>
      <c r="B705" t="s">
        <v>873</v>
      </c>
      <c r="C705" t="s">
        <v>72</v>
      </c>
      <c r="D705" t="s">
        <v>149</v>
      </c>
    </row>
    <row r="706" spans="1:4" x14ac:dyDescent="0.25">
      <c r="A706" t="str">
        <f>"02967"</f>
        <v>02967</v>
      </c>
      <c r="B706" t="s">
        <v>874</v>
      </c>
      <c r="C706" t="s">
        <v>378</v>
      </c>
      <c r="D706" t="s">
        <v>73</v>
      </c>
    </row>
    <row r="707" spans="1:4" x14ac:dyDescent="0.25">
      <c r="A707" t="str">
        <f>"02968"</f>
        <v>02968</v>
      </c>
      <c r="B707" t="s">
        <v>875</v>
      </c>
      <c r="C707" t="s">
        <v>876</v>
      </c>
      <c r="D707" t="s">
        <v>58</v>
      </c>
    </row>
    <row r="708" spans="1:4" x14ac:dyDescent="0.25">
      <c r="A708" t="str">
        <f>"02969"</f>
        <v>02969</v>
      </c>
      <c r="B708" t="s">
        <v>877</v>
      </c>
      <c r="C708" t="s">
        <v>561</v>
      </c>
      <c r="D708" t="s">
        <v>287</v>
      </c>
    </row>
    <row r="709" spans="1:4" x14ac:dyDescent="0.25">
      <c r="A709" t="str">
        <f>"02972"</f>
        <v>02972</v>
      </c>
      <c r="B709" t="s">
        <v>878</v>
      </c>
      <c r="C709" t="s">
        <v>324</v>
      </c>
      <c r="D709" t="s">
        <v>109</v>
      </c>
    </row>
    <row r="710" spans="1:4" x14ac:dyDescent="0.25">
      <c r="A710" t="str">
        <f>"02974"</f>
        <v>02974</v>
      </c>
      <c r="B710" t="s">
        <v>879</v>
      </c>
      <c r="C710" t="s">
        <v>738</v>
      </c>
      <c r="D710" t="s">
        <v>120</v>
      </c>
    </row>
    <row r="711" spans="1:4" x14ac:dyDescent="0.25">
      <c r="A711" t="str">
        <f>"02975"</f>
        <v>02975</v>
      </c>
      <c r="B711" t="s">
        <v>880</v>
      </c>
      <c r="C711" t="s">
        <v>175</v>
      </c>
      <c r="D711" t="s">
        <v>73</v>
      </c>
    </row>
    <row r="712" spans="1:4" x14ac:dyDescent="0.25">
      <c r="A712" t="str">
        <f>"02978"</f>
        <v>02978</v>
      </c>
      <c r="B712" t="s">
        <v>881</v>
      </c>
      <c r="C712" t="s">
        <v>79</v>
      </c>
      <c r="D712" t="s">
        <v>67</v>
      </c>
    </row>
    <row r="713" spans="1:4" x14ac:dyDescent="0.25">
      <c r="A713" t="str">
        <f>"02979"</f>
        <v>02979</v>
      </c>
      <c r="B713" t="s">
        <v>882</v>
      </c>
      <c r="C713" t="s">
        <v>378</v>
      </c>
      <c r="D713" t="s">
        <v>73</v>
      </c>
    </row>
    <row r="714" spans="1:4" x14ac:dyDescent="0.25">
      <c r="A714" t="str">
        <f>"02980"</f>
        <v>02980</v>
      </c>
      <c r="B714" t="s">
        <v>883</v>
      </c>
      <c r="C714" t="s">
        <v>96</v>
      </c>
      <c r="D714" t="s">
        <v>287</v>
      </c>
    </row>
    <row r="715" spans="1:4" x14ac:dyDescent="0.25">
      <c r="A715" t="str">
        <f>"02981"</f>
        <v>02981</v>
      </c>
      <c r="B715" t="s">
        <v>884</v>
      </c>
      <c r="C715" t="s">
        <v>22</v>
      </c>
      <c r="D715" t="s">
        <v>61</v>
      </c>
    </row>
    <row r="716" spans="1:4" x14ac:dyDescent="0.25">
      <c r="A716" t="str">
        <f>"02982"</f>
        <v>02982</v>
      </c>
      <c r="B716" t="s">
        <v>885</v>
      </c>
      <c r="C716" t="s">
        <v>886</v>
      </c>
      <c r="D716" t="s">
        <v>17</v>
      </c>
    </row>
    <row r="717" spans="1:4" x14ac:dyDescent="0.25">
      <c r="A717" t="str">
        <f>"02985"</f>
        <v>02985</v>
      </c>
      <c r="B717" t="s">
        <v>887</v>
      </c>
      <c r="C717" t="s">
        <v>561</v>
      </c>
      <c r="D717" t="s">
        <v>91</v>
      </c>
    </row>
    <row r="718" spans="1:4" x14ac:dyDescent="0.25">
      <c r="A718" t="str">
        <f>"02986"</f>
        <v>02986</v>
      </c>
      <c r="B718" t="s">
        <v>888</v>
      </c>
      <c r="C718" t="s">
        <v>561</v>
      </c>
      <c r="D718" t="s">
        <v>6</v>
      </c>
    </row>
    <row r="719" spans="1:4" x14ac:dyDescent="0.25">
      <c r="A719" t="str">
        <f>"02987"</f>
        <v>02987</v>
      </c>
      <c r="B719" t="s">
        <v>889</v>
      </c>
      <c r="C719" t="s">
        <v>143</v>
      </c>
      <c r="D719" t="s">
        <v>105</v>
      </c>
    </row>
    <row r="720" spans="1:4" x14ac:dyDescent="0.25">
      <c r="A720" t="str">
        <f>"02988"</f>
        <v>02988</v>
      </c>
      <c r="B720" t="s">
        <v>890</v>
      </c>
      <c r="C720" t="s">
        <v>671</v>
      </c>
      <c r="D720" t="s">
        <v>80</v>
      </c>
    </row>
    <row r="721" spans="1:4" x14ac:dyDescent="0.25">
      <c r="A721" t="str">
        <f>"02989"</f>
        <v>02989</v>
      </c>
      <c r="B721" t="s">
        <v>891</v>
      </c>
      <c r="C721" t="s">
        <v>143</v>
      </c>
      <c r="D721" t="s">
        <v>105</v>
      </c>
    </row>
    <row r="722" spans="1:4" x14ac:dyDescent="0.25">
      <c r="A722" t="str">
        <f>"02992"</f>
        <v>02992</v>
      </c>
      <c r="B722" t="s">
        <v>892</v>
      </c>
      <c r="C722" t="s">
        <v>96</v>
      </c>
      <c r="D722" t="s">
        <v>125</v>
      </c>
    </row>
    <row r="723" spans="1:4" x14ac:dyDescent="0.25">
      <c r="A723" t="str">
        <f>"02993"</f>
        <v>02993</v>
      </c>
      <c r="B723" t="s">
        <v>893</v>
      </c>
      <c r="C723" t="s">
        <v>64</v>
      </c>
      <c r="D723" t="s">
        <v>34</v>
      </c>
    </row>
    <row r="724" spans="1:4" x14ac:dyDescent="0.25">
      <c r="A724" t="str">
        <f>"02994"</f>
        <v>02994</v>
      </c>
      <c r="B724" t="s">
        <v>894</v>
      </c>
      <c r="C724" t="s">
        <v>738</v>
      </c>
      <c r="D724" t="s">
        <v>469</v>
      </c>
    </row>
    <row r="725" spans="1:4" x14ac:dyDescent="0.25">
      <c r="A725" t="str">
        <f>"02996"</f>
        <v>02996</v>
      </c>
      <c r="B725" t="s">
        <v>895</v>
      </c>
      <c r="C725" t="s">
        <v>22</v>
      </c>
      <c r="D725" t="s">
        <v>149</v>
      </c>
    </row>
    <row r="726" spans="1:4" x14ac:dyDescent="0.25">
      <c r="A726" t="str">
        <f>"02997"</f>
        <v>02997</v>
      </c>
      <c r="B726" t="s">
        <v>896</v>
      </c>
      <c r="C726" t="s">
        <v>22</v>
      </c>
      <c r="D726" t="s">
        <v>379</v>
      </c>
    </row>
    <row r="727" spans="1:4" x14ac:dyDescent="0.25">
      <c r="A727" t="str">
        <f>"02998"</f>
        <v>02998</v>
      </c>
      <c r="B727" t="s">
        <v>897</v>
      </c>
      <c r="C727" t="s">
        <v>159</v>
      </c>
      <c r="D727" t="s">
        <v>31</v>
      </c>
    </row>
    <row r="728" spans="1:4" x14ac:dyDescent="0.25">
      <c r="A728" t="str">
        <f>"02999"</f>
        <v>02999</v>
      </c>
      <c r="B728" t="s">
        <v>898</v>
      </c>
      <c r="C728" t="s">
        <v>899</v>
      </c>
      <c r="D728" t="s">
        <v>133</v>
      </c>
    </row>
    <row r="729" spans="1:4" x14ac:dyDescent="0.25">
      <c r="A729" t="str">
        <f>"03000"</f>
        <v>03000</v>
      </c>
      <c r="B729" t="s">
        <v>900</v>
      </c>
      <c r="C729" t="s">
        <v>33</v>
      </c>
      <c r="D729" t="s">
        <v>34</v>
      </c>
    </row>
    <row r="730" spans="1:4" x14ac:dyDescent="0.25">
      <c r="A730" t="str">
        <f>"03003"</f>
        <v>03003</v>
      </c>
      <c r="B730" t="s">
        <v>901</v>
      </c>
      <c r="C730" t="s">
        <v>22</v>
      </c>
      <c r="D730" t="s">
        <v>58</v>
      </c>
    </row>
    <row r="731" spans="1:4" x14ac:dyDescent="0.25">
      <c r="A731" t="str">
        <f>"03007"</f>
        <v>03007</v>
      </c>
      <c r="B731" t="s">
        <v>902</v>
      </c>
      <c r="C731" t="s">
        <v>96</v>
      </c>
      <c r="D731" t="s">
        <v>40</v>
      </c>
    </row>
    <row r="732" spans="1:4" x14ac:dyDescent="0.25">
      <c r="A732" t="str">
        <f>"03008"</f>
        <v>03008</v>
      </c>
      <c r="B732" t="s">
        <v>903</v>
      </c>
      <c r="C732" t="s">
        <v>664</v>
      </c>
      <c r="D732" t="s">
        <v>9</v>
      </c>
    </row>
    <row r="733" spans="1:4" x14ac:dyDescent="0.25">
      <c r="A733" t="str">
        <f>"03009"</f>
        <v>03009</v>
      </c>
      <c r="B733" t="s">
        <v>904</v>
      </c>
      <c r="C733" t="s">
        <v>905</v>
      </c>
      <c r="D733" t="s">
        <v>109</v>
      </c>
    </row>
    <row r="734" spans="1:4" x14ac:dyDescent="0.25">
      <c r="A734" t="str">
        <f>"03010"</f>
        <v>03010</v>
      </c>
      <c r="B734" t="s">
        <v>906</v>
      </c>
      <c r="C734" t="s">
        <v>907</v>
      </c>
      <c r="D734" t="s">
        <v>75</v>
      </c>
    </row>
    <row r="735" spans="1:4" x14ac:dyDescent="0.25">
      <c r="A735" t="str">
        <f>"03011"</f>
        <v>03011</v>
      </c>
      <c r="B735" t="s">
        <v>908</v>
      </c>
      <c r="C735" t="s">
        <v>72</v>
      </c>
      <c r="D735" t="s">
        <v>19</v>
      </c>
    </row>
    <row r="736" spans="1:4" x14ac:dyDescent="0.25">
      <c r="A736" t="str">
        <f>"03013"</f>
        <v>03013</v>
      </c>
      <c r="B736" t="s">
        <v>909</v>
      </c>
      <c r="C736" t="s">
        <v>96</v>
      </c>
      <c r="D736" t="s">
        <v>19</v>
      </c>
    </row>
    <row r="737" spans="1:4" x14ac:dyDescent="0.25">
      <c r="A737" t="str">
        <f>"03015"</f>
        <v>03015</v>
      </c>
      <c r="B737" t="s">
        <v>910</v>
      </c>
      <c r="C737" t="s">
        <v>911</v>
      </c>
      <c r="D737" t="s">
        <v>584</v>
      </c>
    </row>
    <row r="738" spans="1:4" x14ac:dyDescent="0.25">
      <c r="A738" t="str">
        <f>"03017"</f>
        <v>03017</v>
      </c>
      <c r="B738" t="s">
        <v>912</v>
      </c>
      <c r="C738" t="s">
        <v>96</v>
      </c>
      <c r="D738" t="s">
        <v>91</v>
      </c>
    </row>
    <row r="739" spans="1:4" x14ac:dyDescent="0.25">
      <c r="A739" t="str">
        <f>"03018"</f>
        <v>03018</v>
      </c>
      <c r="B739" t="s">
        <v>913</v>
      </c>
      <c r="C739" t="s">
        <v>64</v>
      </c>
      <c r="D739" t="s">
        <v>469</v>
      </c>
    </row>
    <row r="740" spans="1:4" x14ac:dyDescent="0.25">
      <c r="A740" t="str">
        <f>"03020"</f>
        <v>03020</v>
      </c>
      <c r="B740" t="s">
        <v>914</v>
      </c>
      <c r="C740" t="s">
        <v>171</v>
      </c>
      <c r="D740" t="s">
        <v>73</v>
      </c>
    </row>
    <row r="741" spans="1:4" x14ac:dyDescent="0.25">
      <c r="A741" t="str">
        <f>"03022"</f>
        <v>03022</v>
      </c>
      <c r="B741" t="s">
        <v>915</v>
      </c>
      <c r="C741" t="s">
        <v>22</v>
      </c>
      <c r="D741" t="s">
        <v>80</v>
      </c>
    </row>
    <row r="742" spans="1:4" x14ac:dyDescent="0.25">
      <c r="A742" t="str">
        <f>"03023"</f>
        <v>03023</v>
      </c>
      <c r="B742" t="s">
        <v>916</v>
      </c>
      <c r="C742" t="s">
        <v>671</v>
      </c>
      <c r="D742" t="s">
        <v>149</v>
      </c>
    </row>
    <row r="743" spans="1:4" x14ac:dyDescent="0.25">
      <c r="A743" t="str">
        <f>"03026"</f>
        <v>03026</v>
      </c>
      <c r="B743" t="s">
        <v>917</v>
      </c>
      <c r="C743" t="s">
        <v>561</v>
      </c>
      <c r="D743" t="s">
        <v>91</v>
      </c>
    </row>
    <row r="744" spans="1:4" x14ac:dyDescent="0.25">
      <c r="A744" t="str">
        <f>"03029"</f>
        <v>03029</v>
      </c>
      <c r="B744" t="s">
        <v>918</v>
      </c>
      <c r="C744" t="s">
        <v>22</v>
      </c>
      <c r="D744" t="s">
        <v>19</v>
      </c>
    </row>
    <row r="745" spans="1:4" x14ac:dyDescent="0.25">
      <c r="A745" t="str">
        <f>"03030"</f>
        <v>03030</v>
      </c>
      <c r="B745" t="s">
        <v>919</v>
      </c>
      <c r="C745" t="s">
        <v>22</v>
      </c>
      <c r="D745" t="s">
        <v>125</v>
      </c>
    </row>
    <row r="746" spans="1:4" x14ac:dyDescent="0.25">
      <c r="A746" t="str">
        <f>"03032"</f>
        <v>03032</v>
      </c>
      <c r="B746" t="s">
        <v>920</v>
      </c>
      <c r="C746" t="s">
        <v>803</v>
      </c>
      <c r="D746" t="s">
        <v>149</v>
      </c>
    </row>
    <row r="747" spans="1:4" x14ac:dyDescent="0.25">
      <c r="A747" t="str">
        <f>"03033"</f>
        <v>03033</v>
      </c>
      <c r="B747" t="s">
        <v>921</v>
      </c>
      <c r="C747" t="s">
        <v>803</v>
      </c>
      <c r="D747" t="s">
        <v>149</v>
      </c>
    </row>
    <row r="748" spans="1:4" x14ac:dyDescent="0.25">
      <c r="A748" t="str">
        <f>"03034"</f>
        <v>03034</v>
      </c>
      <c r="B748" t="s">
        <v>922</v>
      </c>
      <c r="C748" t="s">
        <v>923</v>
      </c>
      <c r="D748" t="s">
        <v>23</v>
      </c>
    </row>
    <row r="749" spans="1:4" x14ac:dyDescent="0.25">
      <c r="A749" t="str">
        <f>"03035"</f>
        <v>03035</v>
      </c>
      <c r="B749" t="s">
        <v>924</v>
      </c>
      <c r="C749" t="s">
        <v>561</v>
      </c>
      <c r="D749" t="s">
        <v>411</v>
      </c>
    </row>
    <row r="750" spans="1:4" x14ac:dyDescent="0.25">
      <c r="A750" t="str">
        <f>"03036"</f>
        <v>03036</v>
      </c>
      <c r="B750" t="s">
        <v>925</v>
      </c>
      <c r="C750" t="s">
        <v>33</v>
      </c>
      <c r="D750" t="s">
        <v>73</v>
      </c>
    </row>
    <row r="751" spans="1:4" x14ac:dyDescent="0.25">
      <c r="A751" t="str">
        <f>"03038"</f>
        <v>03038</v>
      </c>
      <c r="B751" t="s">
        <v>926</v>
      </c>
      <c r="C751" t="s">
        <v>72</v>
      </c>
      <c r="D751" t="s">
        <v>149</v>
      </c>
    </row>
    <row r="752" spans="1:4" x14ac:dyDescent="0.25">
      <c r="A752" t="str">
        <f>"03039"</f>
        <v>03039</v>
      </c>
      <c r="B752" t="s">
        <v>927</v>
      </c>
      <c r="C752" t="s">
        <v>72</v>
      </c>
      <c r="D752" t="s">
        <v>40</v>
      </c>
    </row>
    <row r="753" spans="1:4" x14ac:dyDescent="0.25">
      <c r="A753" t="str">
        <f>"03040"</f>
        <v>03040</v>
      </c>
      <c r="B753" t="s">
        <v>928</v>
      </c>
      <c r="C753" t="s">
        <v>72</v>
      </c>
      <c r="D753" t="s">
        <v>411</v>
      </c>
    </row>
    <row r="754" spans="1:4" x14ac:dyDescent="0.25">
      <c r="A754" t="str">
        <f>"03041"</f>
        <v>03041</v>
      </c>
      <c r="B754" t="s">
        <v>929</v>
      </c>
      <c r="C754" t="s">
        <v>930</v>
      </c>
      <c r="D754" t="s">
        <v>931</v>
      </c>
    </row>
    <row r="755" spans="1:4" x14ac:dyDescent="0.25">
      <c r="A755" t="str">
        <f>"03042"</f>
        <v>03042</v>
      </c>
      <c r="B755" t="s">
        <v>932</v>
      </c>
      <c r="C755" t="s">
        <v>930</v>
      </c>
      <c r="D755" t="s">
        <v>931</v>
      </c>
    </row>
    <row r="756" spans="1:4" x14ac:dyDescent="0.25">
      <c r="A756" t="str">
        <f>"03044"</f>
        <v>03044</v>
      </c>
      <c r="B756" t="s">
        <v>933</v>
      </c>
      <c r="C756" t="s">
        <v>330</v>
      </c>
      <c r="D756" t="s">
        <v>109</v>
      </c>
    </row>
    <row r="757" spans="1:4" x14ac:dyDescent="0.25">
      <c r="A757" t="str">
        <f>"03045"</f>
        <v>03045</v>
      </c>
      <c r="B757" t="s">
        <v>934</v>
      </c>
      <c r="C757" t="s">
        <v>96</v>
      </c>
      <c r="D757" t="s">
        <v>73</v>
      </c>
    </row>
    <row r="758" spans="1:4" x14ac:dyDescent="0.25">
      <c r="A758" t="str">
        <f>"03049"</f>
        <v>03049</v>
      </c>
      <c r="B758" t="s">
        <v>935</v>
      </c>
      <c r="C758" t="s">
        <v>936</v>
      </c>
      <c r="D758" t="s">
        <v>411</v>
      </c>
    </row>
    <row r="759" spans="1:4" x14ac:dyDescent="0.25">
      <c r="A759" t="str">
        <f>"03050"</f>
        <v>03050</v>
      </c>
      <c r="B759" t="s">
        <v>937</v>
      </c>
      <c r="C759" t="s">
        <v>938</v>
      </c>
      <c r="D759" t="s">
        <v>58</v>
      </c>
    </row>
    <row r="760" spans="1:4" x14ac:dyDescent="0.25">
      <c r="A760" t="str">
        <f>"03052"</f>
        <v>03052</v>
      </c>
      <c r="B760" t="s">
        <v>939</v>
      </c>
      <c r="C760" t="s">
        <v>72</v>
      </c>
      <c r="D760" t="s">
        <v>149</v>
      </c>
    </row>
    <row r="761" spans="1:4" x14ac:dyDescent="0.25">
      <c r="A761" t="str">
        <f>"03054"</f>
        <v>03054</v>
      </c>
      <c r="B761" t="s">
        <v>940</v>
      </c>
      <c r="C761" t="s">
        <v>72</v>
      </c>
      <c r="D761" t="s">
        <v>176</v>
      </c>
    </row>
    <row r="762" spans="1:4" x14ac:dyDescent="0.25">
      <c r="A762" t="str">
        <f>"03055"</f>
        <v>03055</v>
      </c>
      <c r="B762" t="s">
        <v>941</v>
      </c>
      <c r="C762" t="s">
        <v>96</v>
      </c>
      <c r="D762" t="s">
        <v>73</v>
      </c>
    </row>
    <row r="763" spans="1:4" x14ac:dyDescent="0.25">
      <c r="A763" t="str">
        <f>"03056"</f>
        <v>03056</v>
      </c>
      <c r="B763" t="s">
        <v>942</v>
      </c>
      <c r="C763" t="s">
        <v>175</v>
      </c>
      <c r="D763" t="s">
        <v>176</v>
      </c>
    </row>
    <row r="764" spans="1:4" x14ac:dyDescent="0.25">
      <c r="A764" t="str">
        <f>"03057"</f>
        <v>03057</v>
      </c>
      <c r="B764" t="s">
        <v>943</v>
      </c>
      <c r="C764" t="s">
        <v>175</v>
      </c>
      <c r="D764" t="s">
        <v>73</v>
      </c>
    </row>
    <row r="765" spans="1:4" x14ac:dyDescent="0.25">
      <c r="A765" t="str">
        <f>"03058"</f>
        <v>03058</v>
      </c>
      <c r="B765" t="s">
        <v>944</v>
      </c>
      <c r="C765" t="s">
        <v>175</v>
      </c>
      <c r="D765" t="s">
        <v>97</v>
      </c>
    </row>
    <row r="766" spans="1:4" x14ac:dyDescent="0.25">
      <c r="A766" t="str">
        <f>"03059"</f>
        <v>03059</v>
      </c>
      <c r="B766" t="s">
        <v>945</v>
      </c>
      <c r="C766" t="s">
        <v>561</v>
      </c>
      <c r="D766" t="s">
        <v>73</v>
      </c>
    </row>
    <row r="767" spans="1:4" x14ac:dyDescent="0.25">
      <c r="A767" t="str">
        <f>"03060"</f>
        <v>03060</v>
      </c>
      <c r="B767" t="s">
        <v>946</v>
      </c>
      <c r="C767" t="s">
        <v>175</v>
      </c>
      <c r="D767" t="s">
        <v>73</v>
      </c>
    </row>
    <row r="768" spans="1:4" x14ac:dyDescent="0.25">
      <c r="A768" t="str">
        <f>"03061"</f>
        <v>03061</v>
      </c>
      <c r="B768" t="s">
        <v>947</v>
      </c>
      <c r="C768" t="s">
        <v>175</v>
      </c>
      <c r="D768" t="s">
        <v>73</v>
      </c>
    </row>
    <row r="769" spans="1:4" x14ac:dyDescent="0.25">
      <c r="A769" t="str">
        <f>"03062"</f>
        <v>03062</v>
      </c>
      <c r="B769" t="s">
        <v>948</v>
      </c>
      <c r="C769" t="s">
        <v>175</v>
      </c>
      <c r="D769" t="s">
        <v>73</v>
      </c>
    </row>
    <row r="770" spans="1:4" x14ac:dyDescent="0.25">
      <c r="A770" t="str">
        <f>"03063"</f>
        <v>03063</v>
      </c>
      <c r="B770" t="s">
        <v>949</v>
      </c>
      <c r="C770" t="s">
        <v>175</v>
      </c>
      <c r="D770" t="s">
        <v>73</v>
      </c>
    </row>
    <row r="771" spans="1:4" x14ac:dyDescent="0.25">
      <c r="A771" t="str">
        <f>"03064"</f>
        <v>03064</v>
      </c>
      <c r="B771" t="s">
        <v>950</v>
      </c>
      <c r="C771" t="s">
        <v>175</v>
      </c>
      <c r="D771" t="s">
        <v>73</v>
      </c>
    </row>
    <row r="772" spans="1:4" x14ac:dyDescent="0.25">
      <c r="A772" t="str">
        <f>"03065"</f>
        <v>03065</v>
      </c>
      <c r="B772" t="s">
        <v>951</v>
      </c>
      <c r="C772" t="s">
        <v>175</v>
      </c>
      <c r="D772" t="s">
        <v>97</v>
      </c>
    </row>
    <row r="773" spans="1:4" x14ac:dyDescent="0.25">
      <c r="A773" t="str">
        <f>"03066"</f>
        <v>03066</v>
      </c>
      <c r="B773" t="s">
        <v>952</v>
      </c>
      <c r="C773" t="s">
        <v>72</v>
      </c>
      <c r="D773" t="s">
        <v>73</v>
      </c>
    </row>
    <row r="774" spans="1:4" x14ac:dyDescent="0.25">
      <c r="A774" t="str">
        <f>"03067"</f>
        <v>03067</v>
      </c>
      <c r="B774" t="s">
        <v>953</v>
      </c>
      <c r="C774" t="s">
        <v>96</v>
      </c>
      <c r="D774" t="s">
        <v>125</v>
      </c>
    </row>
    <row r="775" spans="1:4" x14ac:dyDescent="0.25">
      <c r="A775" t="str">
        <f>"03069"</f>
        <v>03069</v>
      </c>
      <c r="B775" t="s">
        <v>954</v>
      </c>
      <c r="C775" t="s">
        <v>72</v>
      </c>
      <c r="D775" t="s">
        <v>411</v>
      </c>
    </row>
    <row r="776" spans="1:4" x14ac:dyDescent="0.25">
      <c r="A776" t="str">
        <f>"03072"</f>
        <v>03072</v>
      </c>
      <c r="B776" t="s">
        <v>955</v>
      </c>
      <c r="C776" t="s">
        <v>695</v>
      </c>
      <c r="D776" t="s">
        <v>102</v>
      </c>
    </row>
    <row r="777" spans="1:4" x14ac:dyDescent="0.25">
      <c r="A777" t="str">
        <f>"03073"</f>
        <v>03073</v>
      </c>
      <c r="B777" t="s">
        <v>956</v>
      </c>
      <c r="C777" t="s">
        <v>72</v>
      </c>
      <c r="D777" t="s">
        <v>149</v>
      </c>
    </row>
    <row r="778" spans="1:4" x14ac:dyDescent="0.25">
      <c r="A778" t="str">
        <f>"03076"</f>
        <v>03076</v>
      </c>
      <c r="B778" t="s">
        <v>957</v>
      </c>
      <c r="C778" t="s">
        <v>695</v>
      </c>
      <c r="D778" t="s">
        <v>102</v>
      </c>
    </row>
    <row r="779" spans="1:4" x14ac:dyDescent="0.25">
      <c r="A779" t="str">
        <f>"03078"</f>
        <v>03078</v>
      </c>
      <c r="B779" t="s">
        <v>958</v>
      </c>
      <c r="C779" t="s">
        <v>695</v>
      </c>
      <c r="D779" t="s">
        <v>102</v>
      </c>
    </row>
    <row r="780" spans="1:4" x14ac:dyDescent="0.25">
      <c r="A780" t="str">
        <f>"03079"</f>
        <v>03079</v>
      </c>
      <c r="B780" t="s">
        <v>959</v>
      </c>
      <c r="C780" t="s">
        <v>72</v>
      </c>
      <c r="D780" t="s">
        <v>73</v>
      </c>
    </row>
    <row r="781" spans="1:4" x14ac:dyDescent="0.25">
      <c r="A781" t="str">
        <f>"03080"</f>
        <v>03080</v>
      </c>
      <c r="B781" t="s">
        <v>960</v>
      </c>
      <c r="C781" t="s">
        <v>96</v>
      </c>
      <c r="D781" t="s">
        <v>149</v>
      </c>
    </row>
    <row r="782" spans="1:4" x14ac:dyDescent="0.25">
      <c r="A782" t="str">
        <f>"03081"</f>
        <v>03081</v>
      </c>
      <c r="B782" t="s">
        <v>961</v>
      </c>
      <c r="C782" t="s">
        <v>72</v>
      </c>
      <c r="D782" t="s">
        <v>149</v>
      </c>
    </row>
    <row r="783" spans="1:4" x14ac:dyDescent="0.25">
      <c r="A783" t="str">
        <f>"03082"</f>
        <v>03082</v>
      </c>
      <c r="B783" t="s">
        <v>962</v>
      </c>
      <c r="C783" t="s">
        <v>72</v>
      </c>
      <c r="D783" t="s">
        <v>73</v>
      </c>
    </row>
    <row r="784" spans="1:4" x14ac:dyDescent="0.25">
      <c r="A784" t="str">
        <f>"03084"</f>
        <v>03084</v>
      </c>
      <c r="B784" t="s">
        <v>963</v>
      </c>
      <c r="C784" t="s">
        <v>72</v>
      </c>
      <c r="D784" t="s">
        <v>149</v>
      </c>
    </row>
    <row r="785" spans="1:4" x14ac:dyDescent="0.25">
      <c r="A785" t="str">
        <f>"03085"</f>
        <v>03085</v>
      </c>
      <c r="B785" t="s">
        <v>964</v>
      </c>
      <c r="C785" t="s">
        <v>561</v>
      </c>
      <c r="D785" t="s">
        <v>582</v>
      </c>
    </row>
    <row r="786" spans="1:4" x14ac:dyDescent="0.25">
      <c r="A786" t="str">
        <f>"03086"</f>
        <v>03086</v>
      </c>
      <c r="B786" t="s">
        <v>965</v>
      </c>
      <c r="C786" t="s">
        <v>175</v>
      </c>
      <c r="D786" t="s">
        <v>73</v>
      </c>
    </row>
    <row r="787" spans="1:4" x14ac:dyDescent="0.25">
      <c r="A787" t="str">
        <f>"03089"</f>
        <v>03089</v>
      </c>
      <c r="B787" t="s">
        <v>966</v>
      </c>
      <c r="C787" t="s">
        <v>72</v>
      </c>
      <c r="D787" t="s">
        <v>149</v>
      </c>
    </row>
    <row r="788" spans="1:4" x14ac:dyDescent="0.25">
      <c r="A788" t="str">
        <f>"03090"</f>
        <v>03090</v>
      </c>
      <c r="B788" t="s">
        <v>967</v>
      </c>
      <c r="C788" t="s">
        <v>968</v>
      </c>
      <c r="D788" t="s">
        <v>149</v>
      </c>
    </row>
    <row r="789" spans="1:4" x14ac:dyDescent="0.25">
      <c r="A789" t="str">
        <f>"03092"</f>
        <v>03092</v>
      </c>
      <c r="B789" t="s">
        <v>969</v>
      </c>
      <c r="C789" t="s">
        <v>72</v>
      </c>
      <c r="D789" t="s">
        <v>73</v>
      </c>
    </row>
    <row r="790" spans="1:4" x14ac:dyDescent="0.25">
      <c r="A790" t="str">
        <f>"03093"</f>
        <v>03093</v>
      </c>
      <c r="B790" t="s">
        <v>970</v>
      </c>
      <c r="C790" t="s">
        <v>659</v>
      </c>
      <c r="D790" t="s">
        <v>411</v>
      </c>
    </row>
    <row r="791" spans="1:4" x14ac:dyDescent="0.25">
      <c r="A791" t="str">
        <f>"03095"</f>
        <v>03095</v>
      </c>
      <c r="B791" t="s">
        <v>971</v>
      </c>
      <c r="C791" t="s">
        <v>972</v>
      </c>
      <c r="D791" t="s">
        <v>58</v>
      </c>
    </row>
    <row r="792" spans="1:4" x14ac:dyDescent="0.25">
      <c r="A792" t="str">
        <f>"03096"</f>
        <v>03096</v>
      </c>
      <c r="B792" t="s">
        <v>973</v>
      </c>
      <c r="C792" t="s">
        <v>96</v>
      </c>
      <c r="D792" t="s">
        <v>73</v>
      </c>
    </row>
    <row r="793" spans="1:4" x14ac:dyDescent="0.25">
      <c r="A793" t="str">
        <f>"03098"</f>
        <v>03098</v>
      </c>
      <c r="B793" t="s">
        <v>974</v>
      </c>
      <c r="C793" t="s">
        <v>72</v>
      </c>
      <c r="D793" t="s">
        <v>73</v>
      </c>
    </row>
    <row r="794" spans="1:4" x14ac:dyDescent="0.25">
      <c r="A794" t="str">
        <f>"03099"</f>
        <v>03099</v>
      </c>
      <c r="B794" t="s">
        <v>975</v>
      </c>
      <c r="C794" t="s">
        <v>72</v>
      </c>
      <c r="D794" t="s">
        <v>73</v>
      </c>
    </row>
    <row r="795" spans="1:4" x14ac:dyDescent="0.25">
      <c r="A795" t="str">
        <f>"03100"</f>
        <v>03100</v>
      </c>
      <c r="B795" t="s">
        <v>976</v>
      </c>
      <c r="C795" t="s">
        <v>96</v>
      </c>
      <c r="D795" t="s">
        <v>120</v>
      </c>
    </row>
    <row r="796" spans="1:4" x14ac:dyDescent="0.25">
      <c r="A796" t="str">
        <f>"03102"</f>
        <v>03102</v>
      </c>
      <c r="B796" t="s">
        <v>977</v>
      </c>
      <c r="C796" t="s">
        <v>96</v>
      </c>
      <c r="D796" t="s">
        <v>73</v>
      </c>
    </row>
    <row r="797" spans="1:4" x14ac:dyDescent="0.25">
      <c r="A797" t="str">
        <f>"03103"</f>
        <v>03103</v>
      </c>
      <c r="B797" t="s">
        <v>978</v>
      </c>
      <c r="C797" t="s">
        <v>22</v>
      </c>
      <c r="D797" t="s">
        <v>362</v>
      </c>
    </row>
    <row r="798" spans="1:4" x14ac:dyDescent="0.25">
      <c r="A798" t="str">
        <f>"03104"</f>
        <v>03104</v>
      </c>
      <c r="B798" t="s">
        <v>979</v>
      </c>
      <c r="C798" t="s">
        <v>22</v>
      </c>
      <c r="D798" t="s">
        <v>362</v>
      </c>
    </row>
    <row r="799" spans="1:4" x14ac:dyDescent="0.25">
      <c r="A799" t="str">
        <f>"03107"</f>
        <v>03107</v>
      </c>
      <c r="B799" t="s">
        <v>980</v>
      </c>
      <c r="C799" t="s">
        <v>324</v>
      </c>
      <c r="D799" t="s">
        <v>109</v>
      </c>
    </row>
    <row r="800" spans="1:4" x14ac:dyDescent="0.25">
      <c r="A800" t="str">
        <f>"03108"</f>
        <v>03108</v>
      </c>
      <c r="B800" t="s">
        <v>981</v>
      </c>
      <c r="C800" t="s">
        <v>22</v>
      </c>
      <c r="D800" t="s">
        <v>120</v>
      </c>
    </row>
    <row r="801" spans="1:4" x14ac:dyDescent="0.25">
      <c r="A801" t="str">
        <f>"03110"</f>
        <v>03110</v>
      </c>
      <c r="B801" t="s">
        <v>982</v>
      </c>
      <c r="C801" t="s">
        <v>22</v>
      </c>
      <c r="D801" t="s">
        <v>17</v>
      </c>
    </row>
    <row r="802" spans="1:4" x14ac:dyDescent="0.25">
      <c r="A802" t="str">
        <f>"03111"</f>
        <v>03111</v>
      </c>
      <c r="B802" t="s">
        <v>983</v>
      </c>
      <c r="C802" t="s">
        <v>22</v>
      </c>
      <c r="D802" t="s">
        <v>122</v>
      </c>
    </row>
    <row r="803" spans="1:4" x14ac:dyDescent="0.25">
      <c r="A803" t="str">
        <f>"03112"</f>
        <v>03112</v>
      </c>
      <c r="B803" t="s">
        <v>984</v>
      </c>
      <c r="C803" t="s">
        <v>72</v>
      </c>
      <c r="D803" t="s">
        <v>73</v>
      </c>
    </row>
    <row r="804" spans="1:4" x14ac:dyDescent="0.25">
      <c r="A804" t="str">
        <f>"03113"</f>
        <v>03113</v>
      </c>
      <c r="B804" t="s">
        <v>985</v>
      </c>
      <c r="C804" t="s">
        <v>22</v>
      </c>
      <c r="D804" t="s">
        <v>102</v>
      </c>
    </row>
    <row r="805" spans="1:4" x14ac:dyDescent="0.25">
      <c r="A805" t="str">
        <f>"03115"</f>
        <v>03115</v>
      </c>
      <c r="B805" t="s">
        <v>986</v>
      </c>
      <c r="C805" t="s">
        <v>171</v>
      </c>
      <c r="D805" t="s">
        <v>73</v>
      </c>
    </row>
    <row r="806" spans="1:4" x14ac:dyDescent="0.25">
      <c r="A806" t="str">
        <f>"03116"</f>
        <v>03116</v>
      </c>
      <c r="B806" t="s">
        <v>987</v>
      </c>
      <c r="C806" t="s">
        <v>988</v>
      </c>
      <c r="D806" t="s">
        <v>133</v>
      </c>
    </row>
    <row r="807" spans="1:4" x14ac:dyDescent="0.25">
      <c r="A807" t="str">
        <f>"03117"</f>
        <v>03117</v>
      </c>
      <c r="B807" t="s">
        <v>989</v>
      </c>
      <c r="C807" t="s">
        <v>72</v>
      </c>
      <c r="D807" t="s">
        <v>125</v>
      </c>
    </row>
    <row r="808" spans="1:4" x14ac:dyDescent="0.25">
      <c r="A808" t="str">
        <f>"03118"</f>
        <v>03118</v>
      </c>
      <c r="B808" t="s">
        <v>990</v>
      </c>
      <c r="C808" t="s">
        <v>175</v>
      </c>
      <c r="D808" t="s">
        <v>19</v>
      </c>
    </row>
    <row r="809" spans="1:4" x14ac:dyDescent="0.25">
      <c r="A809" t="str">
        <f>"03120"</f>
        <v>03120</v>
      </c>
      <c r="B809" t="s">
        <v>991</v>
      </c>
      <c r="C809" t="s">
        <v>258</v>
      </c>
      <c r="D809" t="s">
        <v>75</v>
      </c>
    </row>
    <row r="810" spans="1:4" x14ac:dyDescent="0.25">
      <c r="A810" t="str">
        <f>"03121"</f>
        <v>03121</v>
      </c>
      <c r="B810" t="s">
        <v>992</v>
      </c>
      <c r="C810" t="s">
        <v>258</v>
      </c>
      <c r="D810" t="s">
        <v>75</v>
      </c>
    </row>
    <row r="811" spans="1:4" x14ac:dyDescent="0.25">
      <c r="A811" t="str">
        <f>"03122"</f>
        <v>03122</v>
      </c>
      <c r="B811" t="s">
        <v>993</v>
      </c>
      <c r="C811" t="s">
        <v>258</v>
      </c>
      <c r="D811" t="s">
        <v>75</v>
      </c>
    </row>
    <row r="812" spans="1:4" x14ac:dyDescent="0.25">
      <c r="A812" t="str">
        <f>"03123"</f>
        <v>03123</v>
      </c>
      <c r="B812" t="s">
        <v>994</v>
      </c>
      <c r="C812" t="s">
        <v>27</v>
      </c>
      <c r="D812" t="s">
        <v>28</v>
      </c>
    </row>
    <row r="813" spans="1:4" x14ac:dyDescent="0.25">
      <c r="A813" t="str">
        <f>"03124"</f>
        <v>03124</v>
      </c>
      <c r="B813" t="s">
        <v>995</v>
      </c>
      <c r="C813" t="s">
        <v>258</v>
      </c>
      <c r="D813" t="s">
        <v>75</v>
      </c>
    </row>
    <row r="814" spans="1:4" x14ac:dyDescent="0.25">
      <c r="A814" t="str">
        <f>"03125"</f>
        <v>03125</v>
      </c>
      <c r="B814" t="s">
        <v>996</v>
      </c>
      <c r="C814" t="s">
        <v>997</v>
      </c>
      <c r="D814" t="s">
        <v>40</v>
      </c>
    </row>
    <row r="815" spans="1:4" x14ac:dyDescent="0.25">
      <c r="A815" t="str">
        <f>"03126"</f>
        <v>03126</v>
      </c>
      <c r="B815" t="s">
        <v>998</v>
      </c>
      <c r="C815" t="s">
        <v>52</v>
      </c>
      <c r="D815" t="s">
        <v>40</v>
      </c>
    </row>
    <row r="816" spans="1:4" x14ac:dyDescent="0.25">
      <c r="A816" t="str">
        <f>"03128"</f>
        <v>03128</v>
      </c>
      <c r="B816" t="s">
        <v>999</v>
      </c>
      <c r="C816" t="s">
        <v>52</v>
      </c>
      <c r="D816" t="s">
        <v>149</v>
      </c>
    </row>
    <row r="817" spans="1:4" x14ac:dyDescent="0.25">
      <c r="A817" t="str">
        <f>"03129"</f>
        <v>03129</v>
      </c>
      <c r="B817" t="s">
        <v>1000</v>
      </c>
      <c r="C817" t="s">
        <v>72</v>
      </c>
      <c r="D817" t="s">
        <v>149</v>
      </c>
    </row>
    <row r="818" spans="1:4" x14ac:dyDescent="0.25">
      <c r="A818" t="str">
        <f>"03130"</f>
        <v>03130</v>
      </c>
      <c r="B818" t="s">
        <v>1001</v>
      </c>
      <c r="C818" t="s">
        <v>1002</v>
      </c>
      <c r="D818" t="s">
        <v>105</v>
      </c>
    </row>
    <row r="819" spans="1:4" x14ac:dyDescent="0.25">
      <c r="A819" t="str">
        <f>"03131"</f>
        <v>03131</v>
      </c>
      <c r="B819" t="s">
        <v>1003</v>
      </c>
      <c r="C819" t="s">
        <v>72</v>
      </c>
      <c r="D819" t="s">
        <v>40</v>
      </c>
    </row>
    <row r="820" spans="1:4" x14ac:dyDescent="0.25">
      <c r="A820" t="str">
        <f>"03132"</f>
        <v>03132</v>
      </c>
      <c r="B820" t="s">
        <v>1004</v>
      </c>
      <c r="C820" t="s">
        <v>52</v>
      </c>
      <c r="D820" t="s">
        <v>73</v>
      </c>
    </row>
    <row r="821" spans="1:4" x14ac:dyDescent="0.25">
      <c r="A821" t="str">
        <f>"03133"</f>
        <v>03133</v>
      </c>
      <c r="B821" t="s">
        <v>1005</v>
      </c>
      <c r="C821" t="s">
        <v>52</v>
      </c>
      <c r="D821" t="s">
        <v>149</v>
      </c>
    </row>
    <row r="822" spans="1:4" x14ac:dyDescent="0.25">
      <c r="A822" t="str">
        <f>"03134"</f>
        <v>03134</v>
      </c>
      <c r="B822" t="s">
        <v>1006</v>
      </c>
      <c r="C822" t="s">
        <v>64</v>
      </c>
      <c r="D822" t="s">
        <v>17</v>
      </c>
    </row>
    <row r="823" spans="1:4" x14ac:dyDescent="0.25">
      <c r="A823" t="str">
        <f>"03135"</f>
        <v>03135</v>
      </c>
      <c r="B823" t="s">
        <v>1007</v>
      </c>
      <c r="C823" t="s">
        <v>171</v>
      </c>
      <c r="D823" t="s">
        <v>73</v>
      </c>
    </row>
    <row r="824" spans="1:4" x14ac:dyDescent="0.25">
      <c r="A824" t="str">
        <f>"03137"</f>
        <v>03137</v>
      </c>
      <c r="B824" t="s">
        <v>1008</v>
      </c>
      <c r="C824" t="s">
        <v>5</v>
      </c>
      <c r="D824" t="s">
        <v>122</v>
      </c>
    </row>
    <row r="825" spans="1:4" x14ac:dyDescent="0.25">
      <c r="A825" t="str">
        <f>"03138"</f>
        <v>03138</v>
      </c>
      <c r="B825" t="s">
        <v>1009</v>
      </c>
      <c r="C825" t="s">
        <v>52</v>
      </c>
      <c r="D825" t="s">
        <v>40</v>
      </c>
    </row>
    <row r="826" spans="1:4" x14ac:dyDescent="0.25">
      <c r="A826" t="str">
        <f>"03139"</f>
        <v>03139</v>
      </c>
      <c r="B826" t="s">
        <v>1010</v>
      </c>
      <c r="C826" t="s">
        <v>52</v>
      </c>
      <c r="D826" t="s">
        <v>73</v>
      </c>
    </row>
    <row r="827" spans="1:4" x14ac:dyDescent="0.25">
      <c r="A827" t="str">
        <f>"03140"</f>
        <v>03140</v>
      </c>
      <c r="B827" t="s">
        <v>1011</v>
      </c>
      <c r="C827" t="s">
        <v>1012</v>
      </c>
      <c r="D827" t="s">
        <v>156</v>
      </c>
    </row>
    <row r="828" spans="1:4" x14ac:dyDescent="0.25">
      <c r="A828" t="str">
        <f>"03141"</f>
        <v>03141</v>
      </c>
      <c r="B828" t="s">
        <v>1013</v>
      </c>
      <c r="C828" t="s">
        <v>1014</v>
      </c>
      <c r="D828" t="s">
        <v>156</v>
      </c>
    </row>
    <row r="829" spans="1:4" x14ac:dyDescent="0.25">
      <c r="A829" t="str">
        <f>"03142"</f>
        <v>03142</v>
      </c>
      <c r="B829" t="s">
        <v>1015</v>
      </c>
      <c r="C829" t="s">
        <v>803</v>
      </c>
      <c r="D829" t="s">
        <v>292</v>
      </c>
    </row>
    <row r="830" spans="1:4" x14ac:dyDescent="0.25">
      <c r="A830" t="str">
        <f>"03144"</f>
        <v>03144</v>
      </c>
      <c r="B830" t="s">
        <v>1016</v>
      </c>
      <c r="C830" t="s">
        <v>27</v>
      </c>
      <c r="D830" t="s">
        <v>28</v>
      </c>
    </row>
    <row r="831" spans="1:4" x14ac:dyDescent="0.25">
      <c r="A831" t="str">
        <f>"03145"</f>
        <v>03145</v>
      </c>
      <c r="B831" t="s">
        <v>1017</v>
      </c>
      <c r="C831" t="s">
        <v>52</v>
      </c>
      <c r="D831" t="s">
        <v>379</v>
      </c>
    </row>
    <row r="832" spans="1:4" x14ac:dyDescent="0.25">
      <c r="A832" t="str">
        <f>"03146"</f>
        <v>03146</v>
      </c>
      <c r="B832" t="s">
        <v>1018</v>
      </c>
      <c r="C832" t="s">
        <v>64</v>
      </c>
      <c r="D832" t="s">
        <v>17</v>
      </c>
    </row>
    <row r="833" spans="1:4" x14ac:dyDescent="0.25">
      <c r="A833" t="str">
        <f>"03147"</f>
        <v>03147</v>
      </c>
      <c r="B833" t="s">
        <v>1019</v>
      </c>
      <c r="C833" t="s">
        <v>96</v>
      </c>
      <c r="D833" t="s">
        <v>40</v>
      </c>
    </row>
    <row r="834" spans="1:4" x14ac:dyDescent="0.25">
      <c r="A834" t="str">
        <f>"03149"</f>
        <v>03149</v>
      </c>
      <c r="B834" t="s">
        <v>1020</v>
      </c>
      <c r="C834" t="s">
        <v>52</v>
      </c>
      <c r="D834" t="s">
        <v>67</v>
      </c>
    </row>
    <row r="835" spans="1:4" x14ac:dyDescent="0.25">
      <c r="A835" t="str">
        <f>"03150"</f>
        <v>03150</v>
      </c>
      <c r="B835" t="s">
        <v>1021</v>
      </c>
      <c r="C835" t="s">
        <v>96</v>
      </c>
      <c r="D835" t="s">
        <v>12</v>
      </c>
    </row>
    <row r="836" spans="1:4" x14ac:dyDescent="0.25">
      <c r="A836" t="str">
        <f>"03151"</f>
        <v>03151</v>
      </c>
      <c r="B836" t="s">
        <v>1022</v>
      </c>
      <c r="C836" t="s">
        <v>248</v>
      </c>
      <c r="D836" t="s">
        <v>133</v>
      </c>
    </row>
    <row r="837" spans="1:4" x14ac:dyDescent="0.25">
      <c r="A837" t="str">
        <f>"03152"</f>
        <v>03152</v>
      </c>
      <c r="B837" t="s">
        <v>1023</v>
      </c>
      <c r="C837" t="s">
        <v>72</v>
      </c>
      <c r="D837" t="s">
        <v>12</v>
      </c>
    </row>
    <row r="838" spans="1:4" x14ac:dyDescent="0.25">
      <c r="A838" t="str">
        <f>"03153"</f>
        <v>03153</v>
      </c>
      <c r="B838" t="s">
        <v>1024</v>
      </c>
      <c r="C838" t="s">
        <v>96</v>
      </c>
      <c r="D838" t="s">
        <v>120</v>
      </c>
    </row>
    <row r="839" spans="1:4" x14ac:dyDescent="0.25">
      <c r="A839" t="str">
        <f>"03154"</f>
        <v>03154</v>
      </c>
      <c r="B839" t="s">
        <v>1025</v>
      </c>
      <c r="C839" t="s">
        <v>72</v>
      </c>
      <c r="D839" t="s">
        <v>99</v>
      </c>
    </row>
    <row r="840" spans="1:4" x14ac:dyDescent="0.25">
      <c r="A840" t="str">
        <f>"03155"</f>
        <v>03155</v>
      </c>
      <c r="B840" t="s">
        <v>1026</v>
      </c>
      <c r="C840" t="s">
        <v>96</v>
      </c>
      <c r="D840" t="s">
        <v>85</v>
      </c>
    </row>
    <row r="841" spans="1:4" x14ac:dyDescent="0.25">
      <c r="A841" t="str">
        <f>"03156"</f>
        <v>03156</v>
      </c>
      <c r="B841" t="s">
        <v>1027</v>
      </c>
      <c r="C841" t="s">
        <v>1028</v>
      </c>
      <c r="D841" t="s">
        <v>118</v>
      </c>
    </row>
    <row r="842" spans="1:4" x14ac:dyDescent="0.25">
      <c r="A842" t="str">
        <f>"03157"</f>
        <v>03157</v>
      </c>
      <c r="B842" t="s">
        <v>1029</v>
      </c>
      <c r="C842" t="s">
        <v>248</v>
      </c>
      <c r="D842" t="s">
        <v>133</v>
      </c>
    </row>
    <row r="843" spans="1:4" x14ac:dyDescent="0.25">
      <c r="A843" t="str">
        <f>"03158"</f>
        <v>03158</v>
      </c>
      <c r="B843" t="s">
        <v>1030</v>
      </c>
      <c r="C843" t="s">
        <v>96</v>
      </c>
      <c r="D843" t="s">
        <v>120</v>
      </c>
    </row>
    <row r="844" spans="1:4" x14ac:dyDescent="0.25">
      <c r="A844" t="str">
        <f>"03159"</f>
        <v>03159</v>
      </c>
      <c r="B844" t="s">
        <v>1031</v>
      </c>
      <c r="C844" t="s">
        <v>72</v>
      </c>
      <c r="D844" t="s">
        <v>99</v>
      </c>
    </row>
    <row r="845" spans="1:4" x14ac:dyDescent="0.25">
      <c r="A845" t="str">
        <f>"03163"</f>
        <v>03163</v>
      </c>
      <c r="B845" t="s">
        <v>1032</v>
      </c>
      <c r="C845" t="s">
        <v>72</v>
      </c>
      <c r="D845" t="s">
        <v>99</v>
      </c>
    </row>
    <row r="846" spans="1:4" x14ac:dyDescent="0.25">
      <c r="A846" t="str">
        <f>"03164"</f>
        <v>03164</v>
      </c>
      <c r="B846" t="s">
        <v>1033</v>
      </c>
      <c r="C846" t="s">
        <v>64</v>
      </c>
      <c r="D846" t="s">
        <v>478</v>
      </c>
    </row>
    <row r="847" spans="1:4" x14ac:dyDescent="0.25">
      <c r="A847" t="str">
        <f>"03165"</f>
        <v>03165</v>
      </c>
      <c r="B847" t="s">
        <v>1034</v>
      </c>
      <c r="C847" t="s">
        <v>96</v>
      </c>
      <c r="D847" t="s">
        <v>85</v>
      </c>
    </row>
    <row r="848" spans="1:4" x14ac:dyDescent="0.25">
      <c r="A848" t="str">
        <f>"03166"</f>
        <v>03166</v>
      </c>
      <c r="B848" t="s">
        <v>1035</v>
      </c>
      <c r="C848" t="s">
        <v>72</v>
      </c>
      <c r="D848" t="s">
        <v>99</v>
      </c>
    </row>
    <row r="849" spans="1:4" x14ac:dyDescent="0.25">
      <c r="A849" t="str">
        <f>"03167"</f>
        <v>03167</v>
      </c>
      <c r="B849" t="s">
        <v>1036</v>
      </c>
      <c r="C849" t="s">
        <v>96</v>
      </c>
      <c r="D849" t="s">
        <v>125</v>
      </c>
    </row>
    <row r="850" spans="1:4" x14ac:dyDescent="0.25">
      <c r="A850" t="str">
        <f>"03168"</f>
        <v>03168</v>
      </c>
      <c r="B850" t="s">
        <v>1037</v>
      </c>
      <c r="C850" t="s">
        <v>561</v>
      </c>
      <c r="D850" t="s">
        <v>85</v>
      </c>
    </row>
    <row r="851" spans="1:4" x14ac:dyDescent="0.25">
      <c r="A851" t="str">
        <f>"03170"</f>
        <v>03170</v>
      </c>
      <c r="B851" t="s">
        <v>1038</v>
      </c>
      <c r="C851" t="s">
        <v>863</v>
      </c>
      <c r="D851" t="s">
        <v>99</v>
      </c>
    </row>
    <row r="852" spans="1:4" x14ac:dyDescent="0.25">
      <c r="A852" t="str">
        <f>"03171"</f>
        <v>03171</v>
      </c>
      <c r="B852" t="s">
        <v>1039</v>
      </c>
      <c r="C852" t="s">
        <v>1040</v>
      </c>
      <c r="D852" t="s">
        <v>73</v>
      </c>
    </row>
    <row r="853" spans="1:4" x14ac:dyDescent="0.25">
      <c r="A853" t="str">
        <f>"03172"</f>
        <v>03172</v>
      </c>
      <c r="B853" t="s">
        <v>1041</v>
      </c>
      <c r="C853" t="s">
        <v>248</v>
      </c>
      <c r="D853" t="s">
        <v>133</v>
      </c>
    </row>
    <row r="854" spans="1:4" x14ac:dyDescent="0.25">
      <c r="A854" t="str">
        <f>"03173"</f>
        <v>03173</v>
      </c>
      <c r="B854" t="s">
        <v>1042</v>
      </c>
      <c r="C854" t="s">
        <v>96</v>
      </c>
      <c r="D854" t="s">
        <v>411</v>
      </c>
    </row>
    <row r="855" spans="1:4" x14ac:dyDescent="0.25">
      <c r="A855" t="str">
        <f>"03174"</f>
        <v>03174</v>
      </c>
      <c r="B855" t="s">
        <v>1043</v>
      </c>
      <c r="C855" t="s">
        <v>193</v>
      </c>
      <c r="D855" t="s">
        <v>80</v>
      </c>
    </row>
    <row r="856" spans="1:4" x14ac:dyDescent="0.25">
      <c r="A856" t="str">
        <f>"03175"</f>
        <v>03175</v>
      </c>
      <c r="B856" t="s">
        <v>1044</v>
      </c>
      <c r="C856" t="s">
        <v>96</v>
      </c>
      <c r="D856" t="s">
        <v>99</v>
      </c>
    </row>
    <row r="857" spans="1:4" x14ac:dyDescent="0.25">
      <c r="A857" t="str">
        <f>"03176"</f>
        <v>03176</v>
      </c>
      <c r="B857" t="s">
        <v>1045</v>
      </c>
      <c r="C857" t="s">
        <v>96</v>
      </c>
      <c r="D857" t="s">
        <v>125</v>
      </c>
    </row>
    <row r="858" spans="1:4" x14ac:dyDescent="0.25">
      <c r="A858" t="str">
        <f>"03177"</f>
        <v>03177</v>
      </c>
      <c r="B858" t="s">
        <v>1046</v>
      </c>
      <c r="C858" t="s">
        <v>64</v>
      </c>
      <c r="D858" t="s">
        <v>80</v>
      </c>
    </row>
    <row r="859" spans="1:4" x14ac:dyDescent="0.25">
      <c r="A859" t="str">
        <f>"03178"</f>
        <v>03178</v>
      </c>
      <c r="B859" t="s">
        <v>1047</v>
      </c>
      <c r="C859" t="s">
        <v>64</v>
      </c>
      <c r="D859" t="s">
        <v>149</v>
      </c>
    </row>
    <row r="860" spans="1:4" x14ac:dyDescent="0.25">
      <c r="A860" t="str">
        <f>"03179"</f>
        <v>03179</v>
      </c>
      <c r="B860" t="s">
        <v>846</v>
      </c>
      <c r="C860" t="s">
        <v>52</v>
      </c>
      <c r="D860" t="s">
        <v>80</v>
      </c>
    </row>
    <row r="861" spans="1:4" x14ac:dyDescent="0.25">
      <c r="A861" t="str">
        <f>"03180"</f>
        <v>03180</v>
      </c>
      <c r="B861" t="s">
        <v>1048</v>
      </c>
      <c r="C861" t="s">
        <v>96</v>
      </c>
      <c r="D861" t="s">
        <v>40</v>
      </c>
    </row>
    <row r="862" spans="1:4" x14ac:dyDescent="0.25">
      <c r="A862" t="str">
        <f>"03181"</f>
        <v>03181</v>
      </c>
      <c r="B862" t="s">
        <v>1049</v>
      </c>
      <c r="C862" t="s">
        <v>258</v>
      </c>
      <c r="D862" t="s">
        <v>75</v>
      </c>
    </row>
    <row r="863" spans="1:4" x14ac:dyDescent="0.25">
      <c r="A863" t="str">
        <f>"03182"</f>
        <v>03182</v>
      </c>
      <c r="B863" t="s">
        <v>1050</v>
      </c>
      <c r="C863" t="s">
        <v>33</v>
      </c>
      <c r="D863" t="s">
        <v>17</v>
      </c>
    </row>
    <row r="864" spans="1:4" x14ac:dyDescent="0.25">
      <c r="A864" t="str">
        <f>"03183"</f>
        <v>03183</v>
      </c>
      <c r="B864" t="s">
        <v>1051</v>
      </c>
      <c r="C864" t="s">
        <v>52</v>
      </c>
      <c r="D864" t="s">
        <v>176</v>
      </c>
    </row>
    <row r="865" spans="1:4" x14ac:dyDescent="0.25">
      <c r="A865" t="str">
        <f>"03185"</f>
        <v>03185</v>
      </c>
      <c r="B865" t="s">
        <v>1052</v>
      </c>
      <c r="C865" t="s">
        <v>561</v>
      </c>
      <c r="D865" t="s">
        <v>99</v>
      </c>
    </row>
    <row r="866" spans="1:4" x14ac:dyDescent="0.25">
      <c r="A866" t="str">
        <f>"03188"</f>
        <v>03188</v>
      </c>
      <c r="B866" t="s">
        <v>1053</v>
      </c>
      <c r="C866" t="s">
        <v>72</v>
      </c>
      <c r="D866" t="s">
        <v>73</v>
      </c>
    </row>
    <row r="867" spans="1:4" x14ac:dyDescent="0.25">
      <c r="A867" t="str">
        <f>"03190"</f>
        <v>03190</v>
      </c>
      <c r="B867" t="s">
        <v>1054</v>
      </c>
      <c r="C867" t="s">
        <v>899</v>
      </c>
      <c r="D867" t="s">
        <v>133</v>
      </c>
    </row>
    <row r="868" spans="1:4" x14ac:dyDescent="0.25">
      <c r="A868" t="str">
        <f>"03191"</f>
        <v>03191</v>
      </c>
      <c r="B868" t="s">
        <v>1055</v>
      </c>
      <c r="C868" t="s">
        <v>64</v>
      </c>
      <c r="D868" t="s">
        <v>17</v>
      </c>
    </row>
    <row r="869" spans="1:4" x14ac:dyDescent="0.25">
      <c r="A869" t="str">
        <f>"03192"</f>
        <v>03192</v>
      </c>
      <c r="B869" t="s">
        <v>1056</v>
      </c>
      <c r="C869" t="s">
        <v>1057</v>
      </c>
      <c r="D869" t="s">
        <v>105</v>
      </c>
    </row>
    <row r="870" spans="1:4" x14ac:dyDescent="0.25">
      <c r="A870" t="str">
        <f>"03196"</f>
        <v>03196</v>
      </c>
      <c r="B870" t="s">
        <v>1058</v>
      </c>
      <c r="C870" t="s">
        <v>64</v>
      </c>
      <c r="D870" t="s">
        <v>931</v>
      </c>
    </row>
    <row r="871" spans="1:4" x14ac:dyDescent="0.25">
      <c r="A871" t="str">
        <f>"03197"</f>
        <v>03197</v>
      </c>
      <c r="B871" t="s">
        <v>1059</v>
      </c>
      <c r="C871" t="s">
        <v>22</v>
      </c>
      <c r="D871" t="s">
        <v>23</v>
      </c>
    </row>
    <row r="872" spans="1:4" x14ac:dyDescent="0.25">
      <c r="A872" t="str">
        <f>"03199"</f>
        <v>03199</v>
      </c>
      <c r="B872" t="s">
        <v>1060</v>
      </c>
      <c r="C872" t="s">
        <v>64</v>
      </c>
      <c r="D872" t="s">
        <v>513</v>
      </c>
    </row>
    <row r="873" spans="1:4" x14ac:dyDescent="0.25">
      <c r="A873" t="str">
        <f>"03201"</f>
        <v>03201</v>
      </c>
      <c r="B873" t="s">
        <v>1061</v>
      </c>
      <c r="C873" t="s">
        <v>72</v>
      </c>
      <c r="D873" t="s">
        <v>75</v>
      </c>
    </row>
    <row r="874" spans="1:4" x14ac:dyDescent="0.25">
      <c r="A874" t="str">
        <f>"03202"</f>
        <v>03202</v>
      </c>
      <c r="B874" t="s">
        <v>1062</v>
      </c>
      <c r="C874" t="s">
        <v>175</v>
      </c>
      <c r="D874" t="s">
        <v>149</v>
      </c>
    </row>
    <row r="875" spans="1:4" x14ac:dyDescent="0.25">
      <c r="A875" t="str">
        <f>"03203"</f>
        <v>03203</v>
      </c>
      <c r="B875" t="s">
        <v>1063</v>
      </c>
      <c r="C875" t="s">
        <v>561</v>
      </c>
      <c r="D875" t="s">
        <v>91</v>
      </c>
    </row>
    <row r="876" spans="1:4" x14ac:dyDescent="0.25">
      <c r="A876" t="str">
        <f>"03206"</f>
        <v>03206</v>
      </c>
      <c r="B876" t="s">
        <v>1064</v>
      </c>
      <c r="C876" t="s">
        <v>561</v>
      </c>
      <c r="D876" t="s">
        <v>91</v>
      </c>
    </row>
    <row r="877" spans="1:4" x14ac:dyDescent="0.25">
      <c r="A877" t="str">
        <f>"03207"</f>
        <v>03207</v>
      </c>
      <c r="B877" t="s">
        <v>1065</v>
      </c>
      <c r="C877" t="s">
        <v>561</v>
      </c>
      <c r="D877" t="s">
        <v>91</v>
      </c>
    </row>
    <row r="878" spans="1:4" x14ac:dyDescent="0.25">
      <c r="A878" t="str">
        <f>"03208"</f>
        <v>03208</v>
      </c>
      <c r="B878" t="s">
        <v>1066</v>
      </c>
      <c r="C878" t="s">
        <v>72</v>
      </c>
      <c r="D878" t="s">
        <v>40</v>
      </c>
    </row>
    <row r="879" spans="1:4" x14ac:dyDescent="0.25">
      <c r="A879" t="str">
        <f>"03209"</f>
        <v>03209</v>
      </c>
      <c r="B879" t="s">
        <v>1067</v>
      </c>
      <c r="C879" t="s">
        <v>930</v>
      </c>
      <c r="D879" t="s">
        <v>931</v>
      </c>
    </row>
    <row r="880" spans="1:4" x14ac:dyDescent="0.25">
      <c r="A880" t="str">
        <f>"03211"</f>
        <v>03211</v>
      </c>
      <c r="B880" t="s">
        <v>1068</v>
      </c>
      <c r="C880" t="s">
        <v>64</v>
      </c>
      <c r="D880" t="s">
        <v>34</v>
      </c>
    </row>
    <row r="881" spans="1:4" x14ac:dyDescent="0.25">
      <c r="A881" t="str">
        <f>"03212"</f>
        <v>03212</v>
      </c>
      <c r="B881" t="s">
        <v>1069</v>
      </c>
      <c r="C881" t="s">
        <v>1070</v>
      </c>
      <c r="D881" t="s">
        <v>17</v>
      </c>
    </row>
    <row r="882" spans="1:4" x14ac:dyDescent="0.25">
      <c r="A882" t="str">
        <f>"03214"</f>
        <v>03214</v>
      </c>
      <c r="B882" t="s">
        <v>1071</v>
      </c>
      <c r="C882" t="s">
        <v>561</v>
      </c>
      <c r="D882" t="s">
        <v>85</v>
      </c>
    </row>
    <row r="883" spans="1:4" x14ac:dyDescent="0.25">
      <c r="A883" t="str">
        <f>"03215"</f>
        <v>03215</v>
      </c>
      <c r="B883" t="s">
        <v>1072</v>
      </c>
      <c r="C883" t="s">
        <v>561</v>
      </c>
      <c r="D883" t="s">
        <v>91</v>
      </c>
    </row>
    <row r="884" spans="1:4" x14ac:dyDescent="0.25">
      <c r="A884" t="str">
        <f>"03216"</f>
        <v>03216</v>
      </c>
      <c r="B884" t="s">
        <v>1073</v>
      </c>
      <c r="C884" t="s">
        <v>561</v>
      </c>
      <c r="D884" t="s">
        <v>85</v>
      </c>
    </row>
    <row r="885" spans="1:4" x14ac:dyDescent="0.25">
      <c r="A885" t="str">
        <f>"03218"</f>
        <v>03218</v>
      </c>
      <c r="B885" t="s">
        <v>1074</v>
      </c>
      <c r="C885" t="s">
        <v>561</v>
      </c>
      <c r="D885" t="s">
        <v>91</v>
      </c>
    </row>
    <row r="886" spans="1:4" x14ac:dyDescent="0.25">
      <c r="A886" t="str">
        <f>"03219"</f>
        <v>03219</v>
      </c>
      <c r="B886" t="s">
        <v>1075</v>
      </c>
      <c r="C886" t="s">
        <v>561</v>
      </c>
      <c r="D886" t="s">
        <v>91</v>
      </c>
    </row>
    <row r="887" spans="1:4" x14ac:dyDescent="0.25">
      <c r="A887" t="str">
        <f>"03221"</f>
        <v>03221</v>
      </c>
      <c r="B887" t="s">
        <v>1076</v>
      </c>
      <c r="C887" t="s">
        <v>64</v>
      </c>
      <c r="D887" t="s">
        <v>120</v>
      </c>
    </row>
    <row r="888" spans="1:4" x14ac:dyDescent="0.25">
      <c r="A888" t="str">
        <f>"03222"</f>
        <v>03222</v>
      </c>
      <c r="B888" t="s">
        <v>1077</v>
      </c>
      <c r="C888" t="s">
        <v>57</v>
      </c>
      <c r="D888" t="s">
        <v>58</v>
      </c>
    </row>
    <row r="889" spans="1:4" x14ac:dyDescent="0.25">
      <c r="A889" t="str">
        <f>"03223"</f>
        <v>03223</v>
      </c>
      <c r="B889" t="s">
        <v>1078</v>
      </c>
      <c r="C889" t="s">
        <v>738</v>
      </c>
      <c r="D889" t="s">
        <v>469</v>
      </c>
    </row>
    <row r="890" spans="1:4" x14ac:dyDescent="0.25">
      <c r="A890" t="str">
        <f>"03224"</f>
        <v>03224</v>
      </c>
      <c r="B890" t="s">
        <v>1079</v>
      </c>
      <c r="C890" t="s">
        <v>96</v>
      </c>
      <c r="D890" t="s">
        <v>75</v>
      </c>
    </row>
    <row r="891" spans="1:4" x14ac:dyDescent="0.25">
      <c r="A891" t="str">
        <f>"03227"</f>
        <v>03227</v>
      </c>
      <c r="B891" t="s">
        <v>1080</v>
      </c>
      <c r="C891" t="s">
        <v>683</v>
      </c>
      <c r="D891" t="s">
        <v>58</v>
      </c>
    </row>
    <row r="892" spans="1:4" x14ac:dyDescent="0.25">
      <c r="A892" t="str">
        <f>"03228"</f>
        <v>03228</v>
      </c>
      <c r="B892" t="s">
        <v>1081</v>
      </c>
      <c r="C892" t="s">
        <v>1082</v>
      </c>
      <c r="D892" t="s">
        <v>118</v>
      </c>
    </row>
    <row r="893" spans="1:4" x14ac:dyDescent="0.25">
      <c r="A893" t="str">
        <f>"03230"</f>
        <v>03230</v>
      </c>
      <c r="B893" t="s">
        <v>1083</v>
      </c>
      <c r="C893" t="s">
        <v>72</v>
      </c>
      <c r="D893" t="s">
        <v>287</v>
      </c>
    </row>
    <row r="894" spans="1:4" x14ac:dyDescent="0.25">
      <c r="A894" t="str">
        <f>"03231"</f>
        <v>03231</v>
      </c>
      <c r="B894" t="s">
        <v>1084</v>
      </c>
      <c r="C894" t="s">
        <v>623</v>
      </c>
      <c r="D894" t="s">
        <v>426</v>
      </c>
    </row>
    <row r="895" spans="1:4" x14ac:dyDescent="0.25">
      <c r="A895" t="str">
        <f>"03233"</f>
        <v>03233</v>
      </c>
      <c r="B895" t="s">
        <v>1085</v>
      </c>
      <c r="C895" t="s">
        <v>1086</v>
      </c>
      <c r="D895" t="s">
        <v>102</v>
      </c>
    </row>
    <row r="896" spans="1:4" x14ac:dyDescent="0.25">
      <c r="A896" t="str">
        <f>"03234"</f>
        <v>03234</v>
      </c>
      <c r="B896" t="s">
        <v>1087</v>
      </c>
      <c r="C896" t="s">
        <v>623</v>
      </c>
      <c r="D896" t="s">
        <v>426</v>
      </c>
    </row>
    <row r="897" spans="1:4" x14ac:dyDescent="0.25">
      <c r="A897" t="str">
        <f>"03235"</f>
        <v>03235</v>
      </c>
      <c r="B897" t="s">
        <v>1088</v>
      </c>
      <c r="C897" t="s">
        <v>324</v>
      </c>
      <c r="D897" t="s">
        <v>109</v>
      </c>
    </row>
    <row r="898" spans="1:4" x14ac:dyDescent="0.25">
      <c r="A898" t="str">
        <f>"03236"</f>
        <v>03236</v>
      </c>
      <c r="B898" t="s">
        <v>1089</v>
      </c>
      <c r="C898" t="s">
        <v>324</v>
      </c>
      <c r="D898" t="s">
        <v>109</v>
      </c>
    </row>
    <row r="899" spans="1:4" x14ac:dyDescent="0.25">
      <c r="A899" t="str">
        <f>"03237"</f>
        <v>03237</v>
      </c>
      <c r="B899" t="s">
        <v>1090</v>
      </c>
      <c r="C899" t="s">
        <v>72</v>
      </c>
      <c r="D899" t="s">
        <v>6</v>
      </c>
    </row>
    <row r="900" spans="1:4" x14ac:dyDescent="0.25">
      <c r="A900" t="str">
        <f>"03238"</f>
        <v>03238</v>
      </c>
      <c r="B900" t="s">
        <v>1091</v>
      </c>
      <c r="C900" t="s">
        <v>1092</v>
      </c>
      <c r="D900" t="s">
        <v>931</v>
      </c>
    </row>
    <row r="901" spans="1:4" x14ac:dyDescent="0.25">
      <c r="A901" t="str">
        <f>"03239"</f>
        <v>03239</v>
      </c>
      <c r="B901" t="s">
        <v>1093</v>
      </c>
      <c r="C901" t="s">
        <v>175</v>
      </c>
      <c r="D901" t="s">
        <v>97</v>
      </c>
    </row>
    <row r="902" spans="1:4" x14ac:dyDescent="0.25">
      <c r="A902" t="str">
        <f>"03241"</f>
        <v>03241</v>
      </c>
      <c r="B902" t="s">
        <v>1094</v>
      </c>
      <c r="C902" t="s">
        <v>1095</v>
      </c>
      <c r="D902" t="s">
        <v>102</v>
      </c>
    </row>
    <row r="903" spans="1:4" x14ac:dyDescent="0.25">
      <c r="A903" t="str">
        <f>"03242"</f>
        <v>03242</v>
      </c>
      <c r="B903" t="s">
        <v>1096</v>
      </c>
      <c r="C903" t="s">
        <v>671</v>
      </c>
      <c r="D903" t="s">
        <v>19</v>
      </c>
    </row>
    <row r="904" spans="1:4" x14ac:dyDescent="0.25">
      <c r="A904" t="str">
        <f>"03243"</f>
        <v>03243</v>
      </c>
      <c r="B904" t="s">
        <v>1097</v>
      </c>
      <c r="C904" t="s">
        <v>22</v>
      </c>
      <c r="D904" t="s">
        <v>176</v>
      </c>
    </row>
    <row r="905" spans="1:4" x14ac:dyDescent="0.25">
      <c r="A905" t="str">
        <f>"03244"</f>
        <v>03244</v>
      </c>
      <c r="B905" t="s">
        <v>1098</v>
      </c>
      <c r="C905" t="s">
        <v>171</v>
      </c>
      <c r="D905" t="s">
        <v>73</v>
      </c>
    </row>
    <row r="906" spans="1:4" x14ac:dyDescent="0.25">
      <c r="A906" t="str">
        <f>"03245"</f>
        <v>03245</v>
      </c>
      <c r="B906" t="s">
        <v>1099</v>
      </c>
      <c r="C906" t="s">
        <v>1086</v>
      </c>
      <c r="D906" t="s">
        <v>102</v>
      </c>
    </row>
    <row r="907" spans="1:4" x14ac:dyDescent="0.25">
      <c r="A907" t="str">
        <f>"03246"</f>
        <v>03246</v>
      </c>
      <c r="B907" t="s">
        <v>1100</v>
      </c>
      <c r="C907" t="s">
        <v>930</v>
      </c>
      <c r="D907" t="s">
        <v>931</v>
      </c>
    </row>
    <row r="908" spans="1:4" x14ac:dyDescent="0.25">
      <c r="A908" t="str">
        <f>"03247"</f>
        <v>03247</v>
      </c>
      <c r="B908" t="s">
        <v>1101</v>
      </c>
      <c r="C908" t="s">
        <v>44</v>
      </c>
      <c r="D908" t="s">
        <v>287</v>
      </c>
    </row>
    <row r="909" spans="1:4" x14ac:dyDescent="0.25">
      <c r="A909" t="str">
        <f>"03248"</f>
        <v>03248</v>
      </c>
      <c r="B909" t="s">
        <v>1102</v>
      </c>
      <c r="C909" t="s">
        <v>1103</v>
      </c>
      <c r="D909" t="s">
        <v>931</v>
      </c>
    </row>
    <row r="910" spans="1:4" x14ac:dyDescent="0.25">
      <c r="A910" t="str">
        <f>"03249"</f>
        <v>03249</v>
      </c>
      <c r="B910" t="s">
        <v>1104</v>
      </c>
      <c r="C910" t="s">
        <v>96</v>
      </c>
      <c r="D910" t="s">
        <v>40</v>
      </c>
    </row>
    <row r="911" spans="1:4" x14ac:dyDescent="0.25">
      <c r="A911" t="str">
        <f>"03251"</f>
        <v>03251</v>
      </c>
      <c r="B911" t="s">
        <v>1105</v>
      </c>
      <c r="C911" t="s">
        <v>111</v>
      </c>
      <c r="D911" t="s">
        <v>582</v>
      </c>
    </row>
    <row r="912" spans="1:4" x14ac:dyDescent="0.25">
      <c r="A912" t="str">
        <f>"03253"</f>
        <v>03253</v>
      </c>
      <c r="B912" t="s">
        <v>1106</v>
      </c>
      <c r="C912" t="s">
        <v>22</v>
      </c>
      <c r="D912" t="s">
        <v>23</v>
      </c>
    </row>
    <row r="913" spans="1:4" x14ac:dyDescent="0.25">
      <c r="A913" t="str">
        <f>"03254"</f>
        <v>03254</v>
      </c>
      <c r="B913" t="s">
        <v>1107</v>
      </c>
      <c r="C913" t="s">
        <v>72</v>
      </c>
      <c r="D913" t="s">
        <v>379</v>
      </c>
    </row>
    <row r="914" spans="1:4" x14ac:dyDescent="0.25">
      <c r="A914" t="str">
        <f>"03255"</f>
        <v>03255</v>
      </c>
      <c r="B914" t="s">
        <v>1108</v>
      </c>
      <c r="C914" t="s">
        <v>64</v>
      </c>
      <c r="D914" t="s">
        <v>17</v>
      </c>
    </row>
    <row r="915" spans="1:4" x14ac:dyDescent="0.25">
      <c r="A915" t="str">
        <f>"03256"</f>
        <v>03256</v>
      </c>
      <c r="B915" t="s">
        <v>1109</v>
      </c>
      <c r="C915" t="s">
        <v>64</v>
      </c>
      <c r="D915" t="s">
        <v>61</v>
      </c>
    </row>
    <row r="916" spans="1:4" x14ac:dyDescent="0.25">
      <c r="A916" t="str">
        <f>"03257"</f>
        <v>03257</v>
      </c>
      <c r="B916" t="s">
        <v>1110</v>
      </c>
      <c r="C916" t="s">
        <v>561</v>
      </c>
      <c r="D916" t="s">
        <v>122</v>
      </c>
    </row>
    <row r="917" spans="1:4" x14ac:dyDescent="0.25">
      <c r="A917" t="str">
        <f>"03258"</f>
        <v>03258</v>
      </c>
      <c r="B917" t="s">
        <v>1111</v>
      </c>
      <c r="C917" t="s">
        <v>72</v>
      </c>
      <c r="D917" t="s">
        <v>40</v>
      </c>
    </row>
    <row r="918" spans="1:4" x14ac:dyDescent="0.25">
      <c r="A918" t="str">
        <f>"03259"</f>
        <v>03259</v>
      </c>
      <c r="B918" t="s">
        <v>1112</v>
      </c>
      <c r="C918" t="s">
        <v>561</v>
      </c>
      <c r="D918" t="s">
        <v>73</v>
      </c>
    </row>
    <row r="919" spans="1:4" x14ac:dyDescent="0.25">
      <c r="A919" t="str">
        <f>"03260"</f>
        <v>03260</v>
      </c>
      <c r="B919" t="s">
        <v>1113</v>
      </c>
      <c r="C919" t="s">
        <v>561</v>
      </c>
      <c r="D919" t="s">
        <v>122</v>
      </c>
    </row>
    <row r="920" spans="1:4" x14ac:dyDescent="0.25">
      <c r="A920" t="str">
        <f>"03261"</f>
        <v>03261</v>
      </c>
      <c r="B920" t="s">
        <v>1114</v>
      </c>
      <c r="C920" t="s">
        <v>72</v>
      </c>
      <c r="D920" t="s">
        <v>73</v>
      </c>
    </row>
    <row r="921" spans="1:4" x14ac:dyDescent="0.25">
      <c r="A921" t="str">
        <f>"03262"</f>
        <v>03262</v>
      </c>
      <c r="B921" t="s">
        <v>1115</v>
      </c>
      <c r="C921" t="s">
        <v>52</v>
      </c>
      <c r="D921" t="s">
        <v>176</v>
      </c>
    </row>
    <row r="922" spans="1:4" x14ac:dyDescent="0.25">
      <c r="A922" t="str">
        <f>"03263"</f>
        <v>03263</v>
      </c>
      <c r="B922" t="s">
        <v>1116</v>
      </c>
      <c r="C922" t="s">
        <v>1117</v>
      </c>
      <c r="D922" t="s">
        <v>292</v>
      </c>
    </row>
    <row r="923" spans="1:4" x14ac:dyDescent="0.25">
      <c r="A923" t="str">
        <f>"03264"</f>
        <v>03264</v>
      </c>
      <c r="B923" t="s">
        <v>1118</v>
      </c>
      <c r="C923" t="s">
        <v>52</v>
      </c>
      <c r="D923" t="s">
        <v>73</v>
      </c>
    </row>
    <row r="924" spans="1:4" x14ac:dyDescent="0.25">
      <c r="A924" t="str">
        <f>"03266"</f>
        <v>03266</v>
      </c>
      <c r="B924" t="s">
        <v>1119</v>
      </c>
      <c r="C924" t="s">
        <v>803</v>
      </c>
      <c r="D924" t="s">
        <v>176</v>
      </c>
    </row>
    <row r="925" spans="1:4" x14ac:dyDescent="0.25">
      <c r="A925" t="str">
        <f>"03267"</f>
        <v>03267</v>
      </c>
      <c r="B925" t="s">
        <v>1120</v>
      </c>
      <c r="C925" t="s">
        <v>905</v>
      </c>
      <c r="D925" t="s">
        <v>513</v>
      </c>
    </row>
    <row r="926" spans="1:4" x14ac:dyDescent="0.25">
      <c r="A926" t="str">
        <f>"03268"</f>
        <v>03268</v>
      </c>
      <c r="B926" t="s">
        <v>1121</v>
      </c>
      <c r="C926" t="s">
        <v>33</v>
      </c>
      <c r="D926" t="s">
        <v>17</v>
      </c>
    </row>
    <row r="927" spans="1:4" x14ac:dyDescent="0.25">
      <c r="A927" t="str">
        <f>"03269"</f>
        <v>03269</v>
      </c>
      <c r="B927" t="s">
        <v>1122</v>
      </c>
      <c r="C927" t="s">
        <v>64</v>
      </c>
      <c r="D927" t="s">
        <v>17</v>
      </c>
    </row>
    <row r="928" spans="1:4" x14ac:dyDescent="0.25">
      <c r="A928" t="str">
        <f>"03270"</f>
        <v>03270</v>
      </c>
      <c r="B928" t="s">
        <v>1123</v>
      </c>
      <c r="C928" t="s">
        <v>64</v>
      </c>
      <c r="D928" t="s">
        <v>73</v>
      </c>
    </row>
    <row r="929" spans="1:4" x14ac:dyDescent="0.25">
      <c r="A929" t="str">
        <f>"03272"</f>
        <v>03272</v>
      </c>
      <c r="B929" t="s">
        <v>1124</v>
      </c>
      <c r="C929" t="s">
        <v>1125</v>
      </c>
      <c r="D929" t="s">
        <v>141</v>
      </c>
    </row>
    <row r="930" spans="1:4" x14ac:dyDescent="0.25">
      <c r="A930" t="str">
        <f>"03273"</f>
        <v>03273</v>
      </c>
      <c r="B930" t="s">
        <v>1126</v>
      </c>
      <c r="C930" t="s">
        <v>1127</v>
      </c>
      <c r="D930" t="s">
        <v>513</v>
      </c>
    </row>
    <row r="931" spans="1:4" x14ac:dyDescent="0.25">
      <c r="A931" t="str">
        <f>"03274"</f>
        <v>03274</v>
      </c>
      <c r="B931" t="s">
        <v>1128</v>
      </c>
      <c r="C931" t="s">
        <v>143</v>
      </c>
      <c r="D931" t="s">
        <v>105</v>
      </c>
    </row>
    <row r="932" spans="1:4" x14ac:dyDescent="0.25">
      <c r="A932" t="str">
        <f>"03275"</f>
        <v>03275</v>
      </c>
      <c r="B932" t="s">
        <v>1129</v>
      </c>
      <c r="C932" t="s">
        <v>1130</v>
      </c>
      <c r="D932" t="s">
        <v>9</v>
      </c>
    </row>
    <row r="933" spans="1:4" x14ac:dyDescent="0.25">
      <c r="A933" t="str">
        <f>"03277"</f>
        <v>03277</v>
      </c>
      <c r="B933" t="s">
        <v>1131</v>
      </c>
      <c r="C933" t="s">
        <v>52</v>
      </c>
      <c r="D933" t="s">
        <v>85</v>
      </c>
    </row>
    <row r="934" spans="1:4" x14ac:dyDescent="0.25">
      <c r="A934" t="str">
        <f>"03278"</f>
        <v>03278</v>
      </c>
      <c r="B934" t="s">
        <v>1132</v>
      </c>
      <c r="C934" t="s">
        <v>1133</v>
      </c>
      <c r="D934" t="s">
        <v>105</v>
      </c>
    </row>
    <row r="935" spans="1:4" x14ac:dyDescent="0.25">
      <c r="A935" t="str">
        <f>"03281"</f>
        <v>03281</v>
      </c>
      <c r="B935" t="s">
        <v>1134</v>
      </c>
      <c r="C935" t="s">
        <v>1130</v>
      </c>
      <c r="D935" t="s">
        <v>9</v>
      </c>
    </row>
    <row r="936" spans="1:4" x14ac:dyDescent="0.25">
      <c r="A936" t="str">
        <f>"03282"</f>
        <v>03282</v>
      </c>
      <c r="B936" t="s">
        <v>1135</v>
      </c>
      <c r="C936" t="s">
        <v>72</v>
      </c>
      <c r="D936" t="s">
        <v>149</v>
      </c>
    </row>
    <row r="937" spans="1:4" x14ac:dyDescent="0.25">
      <c r="A937" t="str">
        <f>"03283"</f>
        <v>03283</v>
      </c>
      <c r="B937" t="s">
        <v>1136</v>
      </c>
      <c r="C937" t="s">
        <v>72</v>
      </c>
      <c r="D937" t="s">
        <v>149</v>
      </c>
    </row>
    <row r="938" spans="1:4" x14ac:dyDescent="0.25">
      <c r="A938" t="str">
        <f>"03284"</f>
        <v>03284</v>
      </c>
      <c r="B938" t="s">
        <v>1137</v>
      </c>
      <c r="C938" t="s">
        <v>52</v>
      </c>
      <c r="D938" t="s">
        <v>75</v>
      </c>
    </row>
    <row r="939" spans="1:4" x14ac:dyDescent="0.25">
      <c r="A939" t="str">
        <f>"03285"</f>
        <v>03285</v>
      </c>
      <c r="B939" t="s">
        <v>1138</v>
      </c>
      <c r="C939" t="s">
        <v>96</v>
      </c>
      <c r="D939" t="s">
        <v>149</v>
      </c>
    </row>
    <row r="940" spans="1:4" x14ac:dyDescent="0.25">
      <c r="A940" t="str">
        <f>"03286"</f>
        <v>03286</v>
      </c>
      <c r="B940" t="s">
        <v>1139</v>
      </c>
      <c r="C940" t="s">
        <v>143</v>
      </c>
      <c r="D940" t="s">
        <v>105</v>
      </c>
    </row>
    <row r="941" spans="1:4" x14ac:dyDescent="0.25">
      <c r="A941" t="str">
        <f>"03287"</f>
        <v>03287</v>
      </c>
      <c r="B941" t="s">
        <v>1140</v>
      </c>
      <c r="C941" t="s">
        <v>72</v>
      </c>
      <c r="D941" t="s">
        <v>73</v>
      </c>
    </row>
    <row r="942" spans="1:4" x14ac:dyDescent="0.25">
      <c r="A942" t="str">
        <f>"03288"</f>
        <v>03288</v>
      </c>
      <c r="B942" t="s">
        <v>1141</v>
      </c>
      <c r="C942" t="s">
        <v>22</v>
      </c>
      <c r="D942" t="s">
        <v>17</v>
      </c>
    </row>
    <row r="943" spans="1:4" x14ac:dyDescent="0.25">
      <c r="A943" t="str">
        <f>"03289"</f>
        <v>03289</v>
      </c>
      <c r="B943" t="s">
        <v>1142</v>
      </c>
      <c r="C943" t="s">
        <v>64</v>
      </c>
      <c r="D943" t="s">
        <v>42</v>
      </c>
    </row>
    <row r="944" spans="1:4" x14ac:dyDescent="0.25">
      <c r="A944" t="str">
        <f>"03290"</f>
        <v>03290</v>
      </c>
      <c r="B944" t="s">
        <v>1143</v>
      </c>
      <c r="C944" t="s">
        <v>1144</v>
      </c>
      <c r="D944" t="s">
        <v>105</v>
      </c>
    </row>
    <row r="945" spans="1:4" x14ac:dyDescent="0.25">
      <c r="A945" t="str">
        <f>"03291"</f>
        <v>03291</v>
      </c>
      <c r="B945" t="s">
        <v>1145</v>
      </c>
      <c r="C945" t="s">
        <v>22</v>
      </c>
      <c r="D945" t="s">
        <v>17</v>
      </c>
    </row>
    <row r="946" spans="1:4" x14ac:dyDescent="0.25">
      <c r="A946" t="str">
        <f>"03292"</f>
        <v>03292</v>
      </c>
      <c r="B946" t="s">
        <v>1146</v>
      </c>
      <c r="C946" t="s">
        <v>52</v>
      </c>
      <c r="D946" t="s">
        <v>287</v>
      </c>
    </row>
    <row r="947" spans="1:4" x14ac:dyDescent="0.25">
      <c r="A947" t="str">
        <f>"03293"</f>
        <v>03293</v>
      </c>
      <c r="B947" t="s">
        <v>1147</v>
      </c>
      <c r="C947" t="s">
        <v>1148</v>
      </c>
      <c r="D947" t="s">
        <v>17</v>
      </c>
    </row>
    <row r="948" spans="1:4" x14ac:dyDescent="0.25">
      <c r="A948" t="str">
        <f>"03295"</f>
        <v>03295</v>
      </c>
      <c r="B948" t="s">
        <v>1149</v>
      </c>
      <c r="C948" t="s">
        <v>1092</v>
      </c>
      <c r="D948" t="s">
        <v>931</v>
      </c>
    </row>
    <row r="949" spans="1:4" x14ac:dyDescent="0.25">
      <c r="A949" t="str">
        <f>"03296"</f>
        <v>03296</v>
      </c>
      <c r="B949" t="s">
        <v>1150</v>
      </c>
      <c r="C949" t="s">
        <v>193</v>
      </c>
      <c r="D949" t="s">
        <v>17</v>
      </c>
    </row>
    <row r="950" spans="1:4" x14ac:dyDescent="0.25">
      <c r="A950" t="str">
        <f>"03297"</f>
        <v>03297</v>
      </c>
      <c r="B950" t="s">
        <v>1151</v>
      </c>
      <c r="C950" t="s">
        <v>64</v>
      </c>
      <c r="D950" t="s">
        <v>85</v>
      </c>
    </row>
    <row r="951" spans="1:4" x14ac:dyDescent="0.25">
      <c r="A951" t="str">
        <f>"03298"</f>
        <v>03298</v>
      </c>
      <c r="B951" t="s">
        <v>1152</v>
      </c>
      <c r="C951" t="s">
        <v>193</v>
      </c>
      <c r="D951" t="s">
        <v>40</v>
      </c>
    </row>
    <row r="952" spans="1:4" x14ac:dyDescent="0.25">
      <c r="A952" t="str">
        <f>"03300"</f>
        <v>03300</v>
      </c>
      <c r="B952" t="s">
        <v>1153</v>
      </c>
      <c r="C952" t="s">
        <v>72</v>
      </c>
      <c r="D952" t="s">
        <v>99</v>
      </c>
    </row>
    <row r="953" spans="1:4" x14ac:dyDescent="0.25">
      <c r="A953" t="str">
        <f>"03302"</f>
        <v>03302</v>
      </c>
      <c r="B953" t="s">
        <v>1154</v>
      </c>
      <c r="C953" t="s">
        <v>561</v>
      </c>
      <c r="D953" t="s">
        <v>149</v>
      </c>
    </row>
    <row r="954" spans="1:4" x14ac:dyDescent="0.25">
      <c r="A954" t="str">
        <f>"03303"</f>
        <v>03303</v>
      </c>
      <c r="B954" t="s">
        <v>1155</v>
      </c>
      <c r="C954" t="s">
        <v>72</v>
      </c>
      <c r="D954" t="s">
        <v>411</v>
      </c>
    </row>
    <row r="955" spans="1:4" x14ac:dyDescent="0.25">
      <c r="A955" t="str">
        <f>"03304"</f>
        <v>03304</v>
      </c>
      <c r="B955" t="s">
        <v>1156</v>
      </c>
      <c r="C955" t="s">
        <v>193</v>
      </c>
      <c r="D955" t="s">
        <v>584</v>
      </c>
    </row>
    <row r="956" spans="1:4" x14ac:dyDescent="0.25">
      <c r="A956" t="str">
        <f>"03305"</f>
        <v>03305</v>
      </c>
      <c r="B956" t="s">
        <v>1157</v>
      </c>
      <c r="C956" t="s">
        <v>1040</v>
      </c>
      <c r="D956" t="s">
        <v>149</v>
      </c>
    </row>
    <row r="957" spans="1:4" x14ac:dyDescent="0.25">
      <c r="A957" t="str">
        <f>"03306"</f>
        <v>03306</v>
      </c>
      <c r="B957" t="s">
        <v>1158</v>
      </c>
      <c r="C957" t="s">
        <v>22</v>
      </c>
      <c r="D957" t="s">
        <v>292</v>
      </c>
    </row>
    <row r="958" spans="1:4" x14ac:dyDescent="0.25">
      <c r="A958" t="str">
        <f>"03307"</f>
        <v>03307</v>
      </c>
      <c r="B958" t="s">
        <v>1159</v>
      </c>
      <c r="C958" t="s">
        <v>1040</v>
      </c>
      <c r="D958" t="s">
        <v>149</v>
      </c>
    </row>
    <row r="959" spans="1:4" x14ac:dyDescent="0.25">
      <c r="A959" t="str">
        <f>"03308"</f>
        <v>03308</v>
      </c>
      <c r="B959" t="s">
        <v>1160</v>
      </c>
      <c r="C959" t="s">
        <v>143</v>
      </c>
      <c r="D959" t="s">
        <v>105</v>
      </c>
    </row>
    <row r="960" spans="1:4" x14ac:dyDescent="0.25">
      <c r="A960" t="str">
        <f>"03309"</f>
        <v>03309</v>
      </c>
      <c r="B960" t="s">
        <v>1161</v>
      </c>
      <c r="C960" t="s">
        <v>1162</v>
      </c>
      <c r="D960" t="s">
        <v>17</v>
      </c>
    </row>
    <row r="961" spans="1:4" x14ac:dyDescent="0.25">
      <c r="A961" t="str">
        <f>"03310"</f>
        <v>03310</v>
      </c>
      <c r="B961" t="s">
        <v>1163</v>
      </c>
      <c r="C961" t="s">
        <v>22</v>
      </c>
      <c r="D961" t="s">
        <v>17</v>
      </c>
    </row>
    <row r="962" spans="1:4" x14ac:dyDescent="0.25">
      <c r="A962" t="str">
        <f>"03311"</f>
        <v>03311</v>
      </c>
      <c r="B962" t="s">
        <v>1164</v>
      </c>
      <c r="C962" t="s">
        <v>72</v>
      </c>
      <c r="D962" t="s">
        <v>176</v>
      </c>
    </row>
    <row r="963" spans="1:4" x14ac:dyDescent="0.25">
      <c r="A963" t="str">
        <f>"03312"</f>
        <v>03312</v>
      </c>
      <c r="B963" t="s">
        <v>1165</v>
      </c>
      <c r="C963" t="s">
        <v>72</v>
      </c>
      <c r="D963" t="s">
        <v>40</v>
      </c>
    </row>
    <row r="964" spans="1:4" x14ac:dyDescent="0.25">
      <c r="A964" t="str">
        <f>"03313"</f>
        <v>03313</v>
      </c>
      <c r="B964" t="s">
        <v>1166</v>
      </c>
      <c r="C964" t="s">
        <v>72</v>
      </c>
      <c r="D964" t="s">
        <v>73</v>
      </c>
    </row>
    <row r="965" spans="1:4" x14ac:dyDescent="0.25">
      <c r="A965" t="str">
        <f>"03314"</f>
        <v>03314</v>
      </c>
      <c r="B965" t="s">
        <v>1167</v>
      </c>
      <c r="C965" t="s">
        <v>72</v>
      </c>
      <c r="D965" t="s">
        <v>73</v>
      </c>
    </row>
    <row r="966" spans="1:4" x14ac:dyDescent="0.25">
      <c r="A966" t="str">
        <f>"03315"</f>
        <v>03315</v>
      </c>
      <c r="B966" t="s">
        <v>1168</v>
      </c>
      <c r="C966" t="s">
        <v>72</v>
      </c>
      <c r="D966" t="s">
        <v>125</v>
      </c>
    </row>
    <row r="967" spans="1:4" x14ac:dyDescent="0.25">
      <c r="A967" t="str">
        <f>"03316"</f>
        <v>03316</v>
      </c>
      <c r="B967" t="s">
        <v>1169</v>
      </c>
      <c r="C967" t="s">
        <v>72</v>
      </c>
      <c r="D967" t="s">
        <v>73</v>
      </c>
    </row>
    <row r="968" spans="1:4" x14ac:dyDescent="0.25">
      <c r="A968" t="str">
        <f>"03317"</f>
        <v>03317</v>
      </c>
      <c r="B968" t="s">
        <v>1170</v>
      </c>
      <c r="C968" t="s">
        <v>72</v>
      </c>
      <c r="D968" t="s">
        <v>73</v>
      </c>
    </row>
    <row r="969" spans="1:4" x14ac:dyDescent="0.25">
      <c r="A969" t="str">
        <f>"03318"</f>
        <v>03318</v>
      </c>
      <c r="B969" t="s">
        <v>1171</v>
      </c>
      <c r="C969" t="s">
        <v>72</v>
      </c>
      <c r="D969" t="s">
        <v>73</v>
      </c>
    </row>
    <row r="970" spans="1:4" x14ac:dyDescent="0.25">
      <c r="A970" t="str">
        <f>"03319"</f>
        <v>03319</v>
      </c>
      <c r="B970" t="s">
        <v>1172</v>
      </c>
      <c r="C970" t="s">
        <v>72</v>
      </c>
      <c r="D970" t="s">
        <v>582</v>
      </c>
    </row>
    <row r="971" spans="1:4" x14ac:dyDescent="0.25">
      <c r="A971" t="str">
        <f>"03320"</f>
        <v>03320</v>
      </c>
      <c r="B971" t="s">
        <v>1173</v>
      </c>
      <c r="C971" t="s">
        <v>1174</v>
      </c>
      <c r="D971" t="s">
        <v>105</v>
      </c>
    </row>
    <row r="972" spans="1:4" x14ac:dyDescent="0.25">
      <c r="A972" t="str">
        <f>"03321"</f>
        <v>03321</v>
      </c>
      <c r="B972" t="s">
        <v>1175</v>
      </c>
      <c r="C972" t="s">
        <v>175</v>
      </c>
      <c r="D972" t="s">
        <v>80</v>
      </c>
    </row>
    <row r="973" spans="1:4" x14ac:dyDescent="0.25">
      <c r="A973" t="str">
        <f>"03322"</f>
        <v>03322</v>
      </c>
      <c r="B973" t="s">
        <v>1176</v>
      </c>
      <c r="C973" t="s">
        <v>193</v>
      </c>
      <c r="D973" t="s">
        <v>17</v>
      </c>
    </row>
    <row r="974" spans="1:4" x14ac:dyDescent="0.25">
      <c r="A974" t="str">
        <f>"03323"</f>
        <v>03323</v>
      </c>
      <c r="B974" t="s">
        <v>1177</v>
      </c>
      <c r="C974" t="s">
        <v>72</v>
      </c>
      <c r="D974" t="s">
        <v>73</v>
      </c>
    </row>
    <row r="975" spans="1:4" x14ac:dyDescent="0.25">
      <c r="A975" t="str">
        <f>"03324"</f>
        <v>03324</v>
      </c>
      <c r="B975" t="s">
        <v>1178</v>
      </c>
      <c r="C975" t="s">
        <v>72</v>
      </c>
      <c r="D975" t="s">
        <v>40</v>
      </c>
    </row>
    <row r="976" spans="1:4" x14ac:dyDescent="0.25">
      <c r="A976" t="str">
        <f>"03325"</f>
        <v>03325</v>
      </c>
      <c r="B976" t="s">
        <v>1179</v>
      </c>
      <c r="C976" t="s">
        <v>1040</v>
      </c>
      <c r="D976" t="s">
        <v>73</v>
      </c>
    </row>
    <row r="977" spans="1:4" x14ac:dyDescent="0.25">
      <c r="A977" t="str">
        <f>"03326"</f>
        <v>03326</v>
      </c>
      <c r="B977" t="s">
        <v>1180</v>
      </c>
      <c r="C977" t="s">
        <v>52</v>
      </c>
      <c r="D977" t="s">
        <v>40</v>
      </c>
    </row>
    <row r="978" spans="1:4" x14ac:dyDescent="0.25">
      <c r="A978" t="str">
        <f>"03327"</f>
        <v>03327</v>
      </c>
      <c r="B978" t="s">
        <v>1181</v>
      </c>
      <c r="C978" t="s">
        <v>1040</v>
      </c>
      <c r="D978" t="s">
        <v>73</v>
      </c>
    </row>
    <row r="979" spans="1:4" x14ac:dyDescent="0.25">
      <c r="A979" t="str">
        <f>"03329"</f>
        <v>03329</v>
      </c>
      <c r="B979" t="s">
        <v>1182</v>
      </c>
      <c r="C979" t="s">
        <v>378</v>
      </c>
      <c r="D979" t="s">
        <v>120</v>
      </c>
    </row>
    <row r="980" spans="1:4" x14ac:dyDescent="0.25">
      <c r="A980" t="str">
        <f>"03330"</f>
        <v>03330</v>
      </c>
      <c r="B980" t="s">
        <v>1183</v>
      </c>
      <c r="C980" t="s">
        <v>72</v>
      </c>
      <c r="D980" t="s">
        <v>40</v>
      </c>
    </row>
    <row r="981" spans="1:4" x14ac:dyDescent="0.25">
      <c r="A981" t="str">
        <f>"03331"</f>
        <v>03331</v>
      </c>
      <c r="B981" t="s">
        <v>1184</v>
      </c>
      <c r="C981" t="s">
        <v>64</v>
      </c>
      <c r="D981" t="s">
        <v>17</v>
      </c>
    </row>
    <row r="982" spans="1:4" x14ac:dyDescent="0.25">
      <c r="A982" t="str">
        <f>"03332"</f>
        <v>03332</v>
      </c>
      <c r="B982" t="s">
        <v>1185</v>
      </c>
      <c r="C982" t="s">
        <v>1186</v>
      </c>
      <c r="D982" t="s">
        <v>80</v>
      </c>
    </row>
    <row r="983" spans="1:4" x14ac:dyDescent="0.25">
      <c r="A983" t="str">
        <f>"03334"</f>
        <v>03334</v>
      </c>
      <c r="B983" t="s">
        <v>1187</v>
      </c>
      <c r="C983" t="s">
        <v>561</v>
      </c>
      <c r="D983" t="s">
        <v>6</v>
      </c>
    </row>
    <row r="984" spans="1:4" x14ac:dyDescent="0.25">
      <c r="A984" t="str">
        <f>"03335"</f>
        <v>03335</v>
      </c>
      <c r="B984" t="s">
        <v>1188</v>
      </c>
      <c r="C984" t="s">
        <v>72</v>
      </c>
      <c r="D984" t="s">
        <v>97</v>
      </c>
    </row>
    <row r="985" spans="1:4" x14ac:dyDescent="0.25">
      <c r="A985" t="str">
        <f>"03336"</f>
        <v>03336</v>
      </c>
      <c r="B985" t="s">
        <v>1189</v>
      </c>
      <c r="C985" t="s">
        <v>72</v>
      </c>
      <c r="D985" t="s">
        <v>97</v>
      </c>
    </row>
    <row r="986" spans="1:4" x14ac:dyDescent="0.25">
      <c r="A986" t="str">
        <f>"03337"</f>
        <v>03337</v>
      </c>
      <c r="B986" t="s">
        <v>1190</v>
      </c>
      <c r="C986" t="s">
        <v>1191</v>
      </c>
      <c r="D986" t="s">
        <v>91</v>
      </c>
    </row>
    <row r="987" spans="1:4" x14ac:dyDescent="0.25">
      <c r="A987" t="str">
        <f>"03338"</f>
        <v>03338</v>
      </c>
      <c r="B987" t="s">
        <v>1192</v>
      </c>
      <c r="C987" t="s">
        <v>72</v>
      </c>
      <c r="D987" t="s">
        <v>149</v>
      </c>
    </row>
    <row r="988" spans="1:4" x14ac:dyDescent="0.25">
      <c r="A988" t="str">
        <f>"03339"</f>
        <v>03339</v>
      </c>
      <c r="B988" t="s">
        <v>1193</v>
      </c>
      <c r="C988" t="s">
        <v>72</v>
      </c>
      <c r="D988" t="s">
        <v>149</v>
      </c>
    </row>
    <row r="989" spans="1:4" x14ac:dyDescent="0.25">
      <c r="A989" t="str">
        <f>"03340"</f>
        <v>03340</v>
      </c>
      <c r="B989" t="s">
        <v>1194</v>
      </c>
      <c r="C989" t="s">
        <v>72</v>
      </c>
      <c r="D989" t="s">
        <v>73</v>
      </c>
    </row>
    <row r="990" spans="1:4" x14ac:dyDescent="0.25">
      <c r="A990" t="str">
        <f>"03341"</f>
        <v>03341</v>
      </c>
      <c r="B990" t="s">
        <v>1195</v>
      </c>
      <c r="C990" t="s">
        <v>72</v>
      </c>
      <c r="D990" t="s">
        <v>73</v>
      </c>
    </row>
    <row r="991" spans="1:4" x14ac:dyDescent="0.25">
      <c r="A991" t="str">
        <f>"03342"</f>
        <v>03342</v>
      </c>
      <c r="B991" t="s">
        <v>1196</v>
      </c>
      <c r="C991" t="s">
        <v>623</v>
      </c>
      <c r="D991" t="s">
        <v>40</v>
      </c>
    </row>
    <row r="992" spans="1:4" x14ac:dyDescent="0.25">
      <c r="A992" t="str">
        <f>"03343"</f>
        <v>03343</v>
      </c>
      <c r="B992" t="s">
        <v>1197</v>
      </c>
      <c r="C992" t="s">
        <v>623</v>
      </c>
      <c r="D992" t="s">
        <v>40</v>
      </c>
    </row>
    <row r="993" spans="1:4" x14ac:dyDescent="0.25">
      <c r="A993" t="str">
        <f>"03344"</f>
        <v>03344</v>
      </c>
      <c r="B993" t="s">
        <v>1198</v>
      </c>
      <c r="C993" t="s">
        <v>72</v>
      </c>
      <c r="D993" t="s">
        <v>73</v>
      </c>
    </row>
    <row r="994" spans="1:4" x14ac:dyDescent="0.25">
      <c r="A994" t="str">
        <f>"03345"</f>
        <v>03345</v>
      </c>
      <c r="B994" t="s">
        <v>1199</v>
      </c>
      <c r="C994" t="s">
        <v>72</v>
      </c>
      <c r="D994" t="s">
        <v>73</v>
      </c>
    </row>
    <row r="995" spans="1:4" x14ac:dyDescent="0.25">
      <c r="A995" t="str">
        <f>"03346"</f>
        <v>03346</v>
      </c>
      <c r="B995" t="s">
        <v>1200</v>
      </c>
      <c r="C995" t="s">
        <v>72</v>
      </c>
      <c r="D995" t="s">
        <v>73</v>
      </c>
    </row>
    <row r="996" spans="1:4" x14ac:dyDescent="0.25">
      <c r="A996" t="str">
        <f>"03347"</f>
        <v>03347</v>
      </c>
      <c r="B996" t="s">
        <v>1201</v>
      </c>
      <c r="C996" t="s">
        <v>72</v>
      </c>
      <c r="D996" t="s">
        <v>73</v>
      </c>
    </row>
    <row r="997" spans="1:4" x14ac:dyDescent="0.25">
      <c r="A997" t="str">
        <f>"03349"</f>
        <v>03349</v>
      </c>
      <c r="B997" t="s">
        <v>1202</v>
      </c>
      <c r="C997" t="s">
        <v>1040</v>
      </c>
      <c r="D997" t="s">
        <v>99</v>
      </c>
    </row>
    <row r="998" spans="1:4" x14ac:dyDescent="0.25">
      <c r="A998" t="str">
        <f>"03350"</f>
        <v>03350</v>
      </c>
      <c r="B998" t="s">
        <v>1203</v>
      </c>
      <c r="C998" t="s">
        <v>1204</v>
      </c>
      <c r="D998" t="s">
        <v>102</v>
      </c>
    </row>
    <row r="999" spans="1:4" x14ac:dyDescent="0.25">
      <c r="A999" t="str">
        <f>"03351"</f>
        <v>03351</v>
      </c>
      <c r="B999" t="s">
        <v>1205</v>
      </c>
      <c r="C999" t="s">
        <v>1204</v>
      </c>
      <c r="D999" t="s">
        <v>102</v>
      </c>
    </row>
    <row r="1000" spans="1:4" x14ac:dyDescent="0.25">
      <c r="A1000" t="str">
        <f>"03352"</f>
        <v>03352</v>
      </c>
      <c r="B1000" t="s">
        <v>1206</v>
      </c>
      <c r="C1000" t="s">
        <v>1204</v>
      </c>
      <c r="D1000" t="s">
        <v>102</v>
      </c>
    </row>
    <row r="1001" spans="1:4" x14ac:dyDescent="0.25">
      <c r="A1001" t="str">
        <f>"03353"</f>
        <v>03353</v>
      </c>
      <c r="B1001" t="s">
        <v>1207</v>
      </c>
      <c r="C1001" t="s">
        <v>72</v>
      </c>
      <c r="D1001" t="s">
        <v>73</v>
      </c>
    </row>
    <row r="1002" spans="1:4" x14ac:dyDescent="0.25">
      <c r="A1002" t="str">
        <f>"03354"</f>
        <v>03354</v>
      </c>
      <c r="B1002" t="s">
        <v>1208</v>
      </c>
      <c r="C1002" t="s">
        <v>72</v>
      </c>
      <c r="D1002" t="s">
        <v>73</v>
      </c>
    </row>
    <row r="1003" spans="1:4" x14ac:dyDescent="0.25">
      <c r="A1003" t="str">
        <f>"03355"</f>
        <v>03355</v>
      </c>
      <c r="B1003" t="s">
        <v>1209</v>
      </c>
      <c r="C1003" t="s">
        <v>72</v>
      </c>
      <c r="D1003" t="s">
        <v>73</v>
      </c>
    </row>
    <row r="1004" spans="1:4" x14ac:dyDescent="0.25">
      <c r="A1004" t="str">
        <f>"03356"</f>
        <v>03356</v>
      </c>
      <c r="B1004" t="s">
        <v>1210</v>
      </c>
      <c r="C1004" t="s">
        <v>72</v>
      </c>
      <c r="D1004" t="s">
        <v>73</v>
      </c>
    </row>
    <row r="1005" spans="1:4" x14ac:dyDescent="0.25">
      <c r="A1005" t="str">
        <f>"03357"</f>
        <v>03357</v>
      </c>
      <c r="B1005" t="s">
        <v>1211</v>
      </c>
      <c r="C1005" t="s">
        <v>72</v>
      </c>
      <c r="D1005" t="s">
        <v>73</v>
      </c>
    </row>
    <row r="1006" spans="1:4" x14ac:dyDescent="0.25">
      <c r="A1006" t="str">
        <f>"03358"</f>
        <v>03358</v>
      </c>
      <c r="B1006" t="s">
        <v>1212</v>
      </c>
      <c r="C1006" t="s">
        <v>72</v>
      </c>
      <c r="D1006" t="s">
        <v>73</v>
      </c>
    </row>
    <row r="1007" spans="1:4" x14ac:dyDescent="0.25">
      <c r="A1007" t="str">
        <f>"03359"</f>
        <v>03359</v>
      </c>
      <c r="B1007" t="s">
        <v>1213</v>
      </c>
      <c r="C1007" t="s">
        <v>72</v>
      </c>
      <c r="D1007" t="s">
        <v>73</v>
      </c>
    </row>
    <row r="1008" spans="1:4" x14ac:dyDescent="0.25">
      <c r="A1008" t="str">
        <f>"03360"</f>
        <v>03360</v>
      </c>
      <c r="B1008" t="s">
        <v>1214</v>
      </c>
      <c r="C1008" t="s">
        <v>72</v>
      </c>
      <c r="D1008" t="s">
        <v>73</v>
      </c>
    </row>
    <row r="1009" spans="1:4" x14ac:dyDescent="0.25">
      <c r="A1009" t="str">
        <f>"03361"</f>
        <v>03361</v>
      </c>
      <c r="B1009" t="s">
        <v>1215</v>
      </c>
      <c r="C1009" t="s">
        <v>72</v>
      </c>
      <c r="D1009" t="s">
        <v>73</v>
      </c>
    </row>
    <row r="1010" spans="1:4" x14ac:dyDescent="0.25">
      <c r="A1010" t="str">
        <f>"03362"</f>
        <v>03362</v>
      </c>
      <c r="B1010" t="s">
        <v>1216</v>
      </c>
      <c r="C1010" t="s">
        <v>72</v>
      </c>
      <c r="D1010" t="s">
        <v>73</v>
      </c>
    </row>
    <row r="1011" spans="1:4" x14ac:dyDescent="0.25">
      <c r="A1011" t="str">
        <f>"03363"</f>
        <v>03363</v>
      </c>
      <c r="B1011" t="s">
        <v>1217</v>
      </c>
      <c r="C1011" t="s">
        <v>72</v>
      </c>
      <c r="D1011" t="s">
        <v>73</v>
      </c>
    </row>
    <row r="1012" spans="1:4" x14ac:dyDescent="0.25">
      <c r="A1012" t="str">
        <f>"03364"</f>
        <v>03364</v>
      </c>
      <c r="B1012" t="s">
        <v>1218</v>
      </c>
      <c r="C1012" t="s">
        <v>72</v>
      </c>
      <c r="D1012" t="s">
        <v>73</v>
      </c>
    </row>
    <row r="1013" spans="1:4" x14ac:dyDescent="0.25">
      <c r="A1013" t="str">
        <f>"03365"</f>
        <v>03365</v>
      </c>
      <c r="B1013" t="s">
        <v>1219</v>
      </c>
      <c r="C1013" t="s">
        <v>72</v>
      </c>
      <c r="D1013" t="s">
        <v>73</v>
      </c>
    </row>
    <row r="1014" spans="1:4" x14ac:dyDescent="0.25">
      <c r="A1014" t="str">
        <f>"03366"</f>
        <v>03366</v>
      </c>
      <c r="B1014" t="s">
        <v>1220</v>
      </c>
      <c r="C1014" t="s">
        <v>72</v>
      </c>
      <c r="D1014" t="s">
        <v>73</v>
      </c>
    </row>
    <row r="1015" spans="1:4" x14ac:dyDescent="0.25">
      <c r="A1015" t="str">
        <f>"03367"</f>
        <v>03367</v>
      </c>
      <c r="B1015" t="s">
        <v>1221</v>
      </c>
      <c r="C1015" t="s">
        <v>72</v>
      </c>
      <c r="D1015" t="s">
        <v>73</v>
      </c>
    </row>
    <row r="1016" spans="1:4" x14ac:dyDescent="0.25">
      <c r="A1016" t="str">
        <f>"03368"</f>
        <v>03368</v>
      </c>
      <c r="B1016" t="s">
        <v>1222</v>
      </c>
      <c r="C1016" t="s">
        <v>72</v>
      </c>
      <c r="D1016" t="s">
        <v>73</v>
      </c>
    </row>
    <row r="1017" spans="1:4" x14ac:dyDescent="0.25">
      <c r="A1017" t="str">
        <f>"03369"</f>
        <v>03369</v>
      </c>
      <c r="B1017" t="s">
        <v>1223</v>
      </c>
      <c r="C1017" t="s">
        <v>72</v>
      </c>
      <c r="D1017" t="s">
        <v>73</v>
      </c>
    </row>
    <row r="1018" spans="1:4" x14ac:dyDescent="0.25">
      <c r="A1018" t="str">
        <f>"03370"</f>
        <v>03370</v>
      </c>
      <c r="B1018" t="s">
        <v>1224</v>
      </c>
      <c r="C1018" t="s">
        <v>1225</v>
      </c>
      <c r="D1018" t="s">
        <v>189</v>
      </c>
    </row>
    <row r="1019" spans="1:4" x14ac:dyDescent="0.25">
      <c r="A1019" t="str">
        <f>"03371"</f>
        <v>03371</v>
      </c>
      <c r="B1019" t="s">
        <v>1226</v>
      </c>
      <c r="C1019" t="s">
        <v>72</v>
      </c>
      <c r="D1019" t="s">
        <v>40</v>
      </c>
    </row>
    <row r="1020" spans="1:4" x14ac:dyDescent="0.25">
      <c r="A1020" t="str">
        <f>"03372"</f>
        <v>03372</v>
      </c>
      <c r="B1020" t="s">
        <v>1227</v>
      </c>
      <c r="C1020" t="s">
        <v>72</v>
      </c>
      <c r="D1020" t="s">
        <v>73</v>
      </c>
    </row>
    <row r="1021" spans="1:4" x14ac:dyDescent="0.25">
      <c r="A1021" t="str">
        <f>"03373"</f>
        <v>03373</v>
      </c>
      <c r="B1021" t="s">
        <v>1228</v>
      </c>
      <c r="C1021" t="s">
        <v>72</v>
      </c>
      <c r="D1021" t="s">
        <v>73</v>
      </c>
    </row>
    <row r="1022" spans="1:4" x14ac:dyDescent="0.25">
      <c r="A1022" t="str">
        <f>"03374"</f>
        <v>03374</v>
      </c>
      <c r="B1022" t="s">
        <v>1229</v>
      </c>
      <c r="C1022" t="s">
        <v>72</v>
      </c>
      <c r="D1022" t="s">
        <v>125</v>
      </c>
    </row>
    <row r="1023" spans="1:4" x14ac:dyDescent="0.25">
      <c r="A1023" t="str">
        <f>"03375"</f>
        <v>03375</v>
      </c>
      <c r="B1023" t="s">
        <v>1230</v>
      </c>
      <c r="C1023" t="s">
        <v>72</v>
      </c>
      <c r="D1023" t="s">
        <v>125</v>
      </c>
    </row>
    <row r="1024" spans="1:4" x14ac:dyDescent="0.25">
      <c r="A1024" t="str">
        <f>"03376"</f>
        <v>03376</v>
      </c>
      <c r="B1024" t="s">
        <v>1231</v>
      </c>
      <c r="C1024" t="s">
        <v>1204</v>
      </c>
      <c r="D1024" t="s">
        <v>102</v>
      </c>
    </row>
    <row r="1025" spans="1:4" x14ac:dyDescent="0.25">
      <c r="A1025" t="str">
        <f>"03377"</f>
        <v>03377</v>
      </c>
      <c r="B1025" t="s">
        <v>1232</v>
      </c>
      <c r="C1025" t="s">
        <v>1233</v>
      </c>
      <c r="D1025" t="s">
        <v>73</v>
      </c>
    </row>
    <row r="1026" spans="1:4" x14ac:dyDescent="0.25">
      <c r="A1026" t="str">
        <f>"03378"</f>
        <v>03378</v>
      </c>
      <c r="B1026" t="s">
        <v>1234</v>
      </c>
      <c r="C1026" t="s">
        <v>72</v>
      </c>
      <c r="D1026" t="s">
        <v>73</v>
      </c>
    </row>
    <row r="1027" spans="1:4" x14ac:dyDescent="0.25">
      <c r="A1027" t="str">
        <f>"03379"</f>
        <v>03379</v>
      </c>
      <c r="B1027" t="s">
        <v>1235</v>
      </c>
      <c r="C1027" t="s">
        <v>72</v>
      </c>
      <c r="D1027" t="s">
        <v>149</v>
      </c>
    </row>
    <row r="1028" spans="1:4" x14ac:dyDescent="0.25">
      <c r="A1028" t="str">
        <f>"03380"</f>
        <v>03380</v>
      </c>
      <c r="B1028" t="s">
        <v>1236</v>
      </c>
      <c r="C1028" t="s">
        <v>72</v>
      </c>
      <c r="D1028" t="s">
        <v>40</v>
      </c>
    </row>
    <row r="1029" spans="1:4" x14ac:dyDescent="0.25">
      <c r="A1029" t="str">
        <f>"03381"</f>
        <v>03381</v>
      </c>
      <c r="B1029" t="s">
        <v>1237</v>
      </c>
      <c r="C1029" t="s">
        <v>72</v>
      </c>
      <c r="D1029" t="s">
        <v>73</v>
      </c>
    </row>
    <row r="1030" spans="1:4" x14ac:dyDescent="0.25">
      <c r="A1030" t="str">
        <f>"03382"</f>
        <v>03382</v>
      </c>
      <c r="B1030" t="s">
        <v>1238</v>
      </c>
      <c r="C1030" t="s">
        <v>72</v>
      </c>
      <c r="D1030" t="s">
        <v>73</v>
      </c>
    </row>
    <row r="1031" spans="1:4" x14ac:dyDescent="0.25">
      <c r="A1031" t="str">
        <f>"03383"</f>
        <v>03383</v>
      </c>
      <c r="B1031" t="s">
        <v>1239</v>
      </c>
      <c r="C1031" t="s">
        <v>72</v>
      </c>
      <c r="D1031" t="s">
        <v>73</v>
      </c>
    </row>
    <row r="1032" spans="1:4" x14ac:dyDescent="0.25">
      <c r="A1032" t="str">
        <f>"03384"</f>
        <v>03384</v>
      </c>
      <c r="B1032" t="s">
        <v>1240</v>
      </c>
      <c r="C1032" t="s">
        <v>1204</v>
      </c>
      <c r="D1032" t="s">
        <v>102</v>
      </c>
    </row>
    <row r="1033" spans="1:4" x14ac:dyDescent="0.25">
      <c r="A1033" t="str">
        <f>"03385"</f>
        <v>03385</v>
      </c>
      <c r="B1033" t="s">
        <v>1241</v>
      </c>
      <c r="C1033" t="s">
        <v>72</v>
      </c>
      <c r="D1033" t="s">
        <v>73</v>
      </c>
    </row>
    <row r="1034" spans="1:4" x14ac:dyDescent="0.25">
      <c r="A1034" t="str">
        <f>"03386"</f>
        <v>03386</v>
      </c>
      <c r="B1034" t="s">
        <v>1242</v>
      </c>
      <c r="C1034" t="s">
        <v>72</v>
      </c>
      <c r="D1034" t="s">
        <v>149</v>
      </c>
    </row>
    <row r="1035" spans="1:4" x14ac:dyDescent="0.25">
      <c r="A1035" t="str">
        <f>"03387"</f>
        <v>03387</v>
      </c>
      <c r="B1035" t="s">
        <v>1243</v>
      </c>
      <c r="C1035" t="s">
        <v>72</v>
      </c>
      <c r="D1035" t="s">
        <v>149</v>
      </c>
    </row>
    <row r="1036" spans="1:4" x14ac:dyDescent="0.25">
      <c r="A1036" t="str">
        <f>"03388"</f>
        <v>03388</v>
      </c>
      <c r="B1036" t="s">
        <v>1244</v>
      </c>
      <c r="C1036" t="s">
        <v>64</v>
      </c>
      <c r="D1036" t="s">
        <v>379</v>
      </c>
    </row>
    <row r="1037" spans="1:4" x14ac:dyDescent="0.25">
      <c r="A1037" t="str">
        <f>"03389"</f>
        <v>03389</v>
      </c>
      <c r="B1037" t="s">
        <v>1245</v>
      </c>
      <c r="C1037" t="s">
        <v>72</v>
      </c>
      <c r="D1037" t="s">
        <v>73</v>
      </c>
    </row>
    <row r="1038" spans="1:4" x14ac:dyDescent="0.25">
      <c r="A1038" t="str">
        <f>"03390"</f>
        <v>03390</v>
      </c>
      <c r="B1038" t="s">
        <v>1246</v>
      </c>
      <c r="C1038" t="s">
        <v>72</v>
      </c>
      <c r="D1038" t="s">
        <v>40</v>
      </c>
    </row>
    <row r="1039" spans="1:4" x14ac:dyDescent="0.25">
      <c r="A1039" t="str">
        <f>"03392"</f>
        <v>03392</v>
      </c>
      <c r="B1039" t="s">
        <v>1247</v>
      </c>
      <c r="C1039" t="s">
        <v>72</v>
      </c>
      <c r="D1039" t="s">
        <v>149</v>
      </c>
    </row>
    <row r="1040" spans="1:4" x14ac:dyDescent="0.25">
      <c r="A1040" t="str">
        <f>"03393"</f>
        <v>03393</v>
      </c>
      <c r="B1040" t="s">
        <v>1248</v>
      </c>
      <c r="C1040" t="s">
        <v>72</v>
      </c>
      <c r="D1040" t="s">
        <v>40</v>
      </c>
    </row>
    <row r="1041" spans="1:4" x14ac:dyDescent="0.25">
      <c r="A1041" t="str">
        <f>"03394"</f>
        <v>03394</v>
      </c>
      <c r="B1041" t="s">
        <v>1249</v>
      </c>
      <c r="C1041" t="s">
        <v>72</v>
      </c>
      <c r="D1041" t="s">
        <v>379</v>
      </c>
    </row>
    <row r="1042" spans="1:4" x14ac:dyDescent="0.25">
      <c r="A1042" t="str">
        <f>"03395"</f>
        <v>03395</v>
      </c>
      <c r="B1042" t="s">
        <v>1250</v>
      </c>
      <c r="C1042" t="s">
        <v>72</v>
      </c>
      <c r="D1042" t="s">
        <v>149</v>
      </c>
    </row>
    <row r="1043" spans="1:4" x14ac:dyDescent="0.25">
      <c r="A1043" t="str">
        <f>"03396"</f>
        <v>03396</v>
      </c>
      <c r="B1043" t="s">
        <v>1251</v>
      </c>
      <c r="C1043" t="s">
        <v>623</v>
      </c>
      <c r="D1043" t="s">
        <v>149</v>
      </c>
    </row>
    <row r="1044" spans="1:4" x14ac:dyDescent="0.25">
      <c r="A1044" t="str">
        <f>"03397"</f>
        <v>03397</v>
      </c>
      <c r="B1044" t="s">
        <v>1252</v>
      </c>
      <c r="C1044" t="s">
        <v>72</v>
      </c>
      <c r="D1044" t="s">
        <v>149</v>
      </c>
    </row>
    <row r="1045" spans="1:4" x14ac:dyDescent="0.25">
      <c r="A1045" t="str">
        <f>"03398"</f>
        <v>03398</v>
      </c>
      <c r="B1045" t="s">
        <v>1253</v>
      </c>
      <c r="C1045" t="s">
        <v>1148</v>
      </c>
      <c r="D1045" t="s">
        <v>109</v>
      </c>
    </row>
    <row r="1046" spans="1:4" x14ac:dyDescent="0.25">
      <c r="A1046" t="str">
        <f>"03399"</f>
        <v>03399</v>
      </c>
      <c r="B1046" t="s">
        <v>1254</v>
      </c>
      <c r="C1046" t="s">
        <v>72</v>
      </c>
      <c r="D1046" t="s">
        <v>149</v>
      </c>
    </row>
    <row r="1047" spans="1:4" x14ac:dyDescent="0.25">
      <c r="A1047" t="str">
        <f>"03400"</f>
        <v>03400</v>
      </c>
      <c r="B1047" t="s">
        <v>1255</v>
      </c>
      <c r="C1047" t="s">
        <v>561</v>
      </c>
      <c r="D1047" t="s">
        <v>149</v>
      </c>
    </row>
    <row r="1048" spans="1:4" x14ac:dyDescent="0.25">
      <c r="A1048" t="str">
        <f>"03401"</f>
        <v>03401</v>
      </c>
      <c r="B1048" t="s">
        <v>1256</v>
      </c>
      <c r="C1048" t="s">
        <v>930</v>
      </c>
      <c r="D1048" t="s">
        <v>80</v>
      </c>
    </row>
    <row r="1049" spans="1:4" x14ac:dyDescent="0.25">
      <c r="A1049" t="str">
        <f>"03402"</f>
        <v>03402</v>
      </c>
      <c r="B1049" t="s">
        <v>1257</v>
      </c>
      <c r="C1049" t="s">
        <v>1191</v>
      </c>
      <c r="D1049" t="s">
        <v>40</v>
      </c>
    </row>
    <row r="1050" spans="1:4" x14ac:dyDescent="0.25">
      <c r="A1050" t="str">
        <f>"03403"</f>
        <v>03403</v>
      </c>
      <c r="B1050" t="s">
        <v>1258</v>
      </c>
      <c r="C1050" t="s">
        <v>193</v>
      </c>
      <c r="D1050" t="s">
        <v>584</v>
      </c>
    </row>
    <row r="1051" spans="1:4" x14ac:dyDescent="0.25">
      <c r="A1051" t="str">
        <f>"03404"</f>
        <v>03404</v>
      </c>
      <c r="B1051" t="s">
        <v>1259</v>
      </c>
      <c r="C1051" t="s">
        <v>324</v>
      </c>
      <c r="D1051" t="s">
        <v>109</v>
      </c>
    </row>
    <row r="1052" spans="1:4" x14ac:dyDescent="0.25">
      <c r="A1052" t="str">
        <f>"03405"</f>
        <v>03405</v>
      </c>
      <c r="B1052" t="s">
        <v>1260</v>
      </c>
      <c r="C1052" t="s">
        <v>72</v>
      </c>
      <c r="D1052" t="s">
        <v>149</v>
      </c>
    </row>
    <row r="1053" spans="1:4" x14ac:dyDescent="0.25">
      <c r="A1053" t="str">
        <f>"03406"</f>
        <v>03406</v>
      </c>
      <c r="B1053" t="s">
        <v>1261</v>
      </c>
      <c r="C1053" t="s">
        <v>72</v>
      </c>
      <c r="D1053" t="s">
        <v>149</v>
      </c>
    </row>
    <row r="1054" spans="1:4" x14ac:dyDescent="0.25">
      <c r="A1054" t="str">
        <f>"03407"</f>
        <v>03407</v>
      </c>
      <c r="B1054" t="s">
        <v>1262</v>
      </c>
      <c r="C1054" t="s">
        <v>72</v>
      </c>
      <c r="D1054" t="s">
        <v>125</v>
      </c>
    </row>
    <row r="1055" spans="1:4" x14ac:dyDescent="0.25">
      <c r="A1055" t="str">
        <f>"03408"</f>
        <v>03408</v>
      </c>
      <c r="B1055" t="s">
        <v>1263</v>
      </c>
      <c r="C1055" t="s">
        <v>1191</v>
      </c>
      <c r="D1055" t="s">
        <v>99</v>
      </c>
    </row>
    <row r="1056" spans="1:4" x14ac:dyDescent="0.25">
      <c r="A1056" t="str">
        <f>"03409"</f>
        <v>03409</v>
      </c>
      <c r="B1056" t="s">
        <v>1264</v>
      </c>
      <c r="C1056" t="s">
        <v>1191</v>
      </c>
      <c r="D1056" t="s">
        <v>99</v>
      </c>
    </row>
    <row r="1057" spans="1:4" x14ac:dyDescent="0.25">
      <c r="A1057" t="str">
        <f>"03410"</f>
        <v>03410</v>
      </c>
      <c r="B1057" t="s">
        <v>1265</v>
      </c>
      <c r="C1057" t="s">
        <v>623</v>
      </c>
      <c r="D1057" t="s">
        <v>149</v>
      </c>
    </row>
    <row r="1058" spans="1:4" x14ac:dyDescent="0.25">
      <c r="A1058" t="str">
        <f>"03411"</f>
        <v>03411</v>
      </c>
      <c r="B1058" t="s">
        <v>1266</v>
      </c>
      <c r="C1058" t="s">
        <v>72</v>
      </c>
      <c r="D1058" t="s">
        <v>149</v>
      </c>
    </row>
    <row r="1059" spans="1:4" x14ac:dyDescent="0.25">
      <c r="A1059" t="str">
        <f>"03412"</f>
        <v>03412</v>
      </c>
      <c r="B1059" t="s">
        <v>1267</v>
      </c>
      <c r="C1059" t="s">
        <v>72</v>
      </c>
      <c r="D1059" t="s">
        <v>149</v>
      </c>
    </row>
    <row r="1060" spans="1:4" x14ac:dyDescent="0.25">
      <c r="A1060" t="str">
        <f>"03413"</f>
        <v>03413</v>
      </c>
      <c r="B1060" t="s">
        <v>1268</v>
      </c>
      <c r="C1060" t="s">
        <v>72</v>
      </c>
      <c r="D1060" t="s">
        <v>99</v>
      </c>
    </row>
    <row r="1061" spans="1:4" x14ac:dyDescent="0.25">
      <c r="A1061" t="str">
        <f>"03414"</f>
        <v>03414</v>
      </c>
      <c r="B1061" t="s">
        <v>1269</v>
      </c>
      <c r="C1061" t="s">
        <v>72</v>
      </c>
      <c r="D1061" t="s">
        <v>73</v>
      </c>
    </row>
    <row r="1062" spans="1:4" x14ac:dyDescent="0.25">
      <c r="A1062" t="str">
        <f>"03415"</f>
        <v>03415</v>
      </c>
      <c r="B1062" t="s">
        <v>1270</v>
      </c>
      <c r="C1062" t="s">
        <v>72</v>
      </c>
      <c r="D1062" t="s">
        <v>73</v>
      </c>
    </row>
    <row r="1063" spans="1:4" x14ac:dyDescent="0.25">
      <c r="A1063" t="str">
        <f>"03416"</f>
        <v>03416</v>
      </c>
      <c r="B1063" t="s">
        <v>1271</v>
      </c>
      <c r="C1063" t="s">
        <v>72</v>
      </c>
      <c r="D1063" t="s">
        <v>73</v>
      </c>
    </row>
    <row r="1064" spans="1:4" x14ac:dyDescent="0.25">
      <c r="A1064" t="str">
        <f>"03417"</f>
        <v>03417</v>
      </c>
      <c r="B1064" t="s">
        <v>1272</v>
      </c>
      <c r="C1064" t="s">
        <v>561</v>
      </c>
      <c r="D1064" t="s">
        <v>99</v>
      </c>
    </row>
    <row r="1065" spans="1:4" x14ac:dyDescent="0.25">
      <c r="A1065" t="str">
        <f>"03418"</f>
        <v>03418</v>
      </c>
      <c r="B1065" t="s">
        <v>1273</v>
      </c>
      <c r="C1065" t="s">
        <v>96</v>
      </c>
      <c r="D1065" t="s">
        <v>149</v>
      </c>
    </row>
    <row r="1066" spans="1:4" x14ac:dyDescent="0.25">
      <c r="A1066" t="str">
        <f>"03419"</f>
        <v>03419</v>
      </c>
      <c r="B1066" t="s">
        <v>1274</v>
      </c>
      <c r="C1066" t="s">
        <v>72</v>
      </c>
      <c r="D1066" t="s">
        <v>73</v>
      </c>
    </row>
    <row r="1067" spans="1:4" x14ac:dyDescent="0.25">
      <c r="A1067" t="str">
        <f>"03420"</f>
        <v>03420</v>
      </c>
      <c r="B1067" t="s">
        <v>1275</v>
      </c>
      <c r="C1067" t="s">
        <v>96</v>
      </c>
      <c r="D1067" t="s">
        <v>149</v>
      </c>
    </row>
    <row r="1068" spans="1:4" x14ac:dyDescent="0.25">
      <c r="A1068" t="str">
        <f>"03421"</f>
        <v>03421</v>
      </c>
      <c r="B1068" t="s">
        <v>1276</v>
      </c>
      <c r="C1068" t="s">
        <v>72</v>
      </c>
      <c r="D1068" t="s">
        <v>149</v>
      </c>
    </row>
    <row r="1069" spans="1:4" x14ac:dyDescent="0.25">
      <c r="A1069" t="str">
        <f>"03422"</f>
        <v>03422</v>
      </c>
      <c r="B1069" t="s">
        <v>1277</v>
      </c>
      <c r="C1069" t="s">
        <v>52</v>
      </c>
      <c r="D1069" t="s">
        <v>73</v>
      </c>
    </row>
    <row r="1070" spans="1:4" x14ac:dyDescent="0.25">
      <c r="A1070" t="str">
        <f>"036"</f>
        <v>036</v>
      </c>
      <c r="B1070" t="s">
        <v>1278</v>
      </c>
      <c r="C1070" t="s">
        <v>39</v>
      </c>
      <c r="D1070" t="s">
        <v>75</v>
      </c>
    </row>
    <row r="1071" spans="1:4" x14ac:dyDescent="0.25">
      <c r="A1071" t="str">
        <f>"045"</f>
        <v>045</v>
      </c>
      <c r="B1071" t="s">
        <v>1279</v>
      </c>
      <c r="C1071" t="s">
        <v>258</v>
      </c>
      <c r="D1071" t="s">
        <v>75</v>
      </c>
    </row>
    <row r="1072" spans="1:4" x14ac:dyDescent="0.25">
      <c r="A1072" t="str">
        <f>"068"</f>
        <v>068</v>
      </c>
      <c r="B1072" t="s">
        <v>1280</v>
      </c>
      <c r="C1072" t="s">
        <v>79</v>
      </c>
      <c r="D1072" t="s">
        <v>75</v>
      </c>
    </row>
    <row r="1073" spans="1:4" x14ac:dyDescent="0.25">
      <c r="A1073" t="str">
        <f>"084"</f>
        <v>084</v>
      </c>
      <c r="B1073" t="s">
        <v>1281</v>
      </c>
      <c r="C1073" t="s">
        <v>84</v>
      </c>
      <c r="D1073" t="s">
        <v>19</v>
      </c>
    </row>
    <row r="1074" spans="1:4" x14ac:dyDescent="0.25">
      <c r="A1074" t="str">
        <f>"093"</f>
        <v>093</v>
      </c>
      <c r="B1074" t="s">
        <v>1282</v>
      </c>
      <c r="C1074" t="s">
        <v>111</v>
      </c>
      <c r="D1074" t="s">
        <v>65</v>
      </c>
    </row>
    <row r="1075" spans="1:4" x14ac:dyDescent="0.25">
      <c r="A1075" t="str">
        <f>"104"</f>
        <v>104</v>
      </c>
      <c r="B1075" t="s">
        <v>1283</v>
      </c>
      <c r="C1075" t="s">
        <v>11</v>
      </c>
      <c r="D1075" t="s">
        <v>40</v>
      </c>
    </row>
    <row r="1076" spans="1:4" x14ac:dyDescent="0.25">
      <c r="A1076" t="str">
        <f>"109"</f>
        <v>109</v>
      </c>
      <c r="B1076" t="s">
        <v>1284</v>
      </c>
      <c r="C1076" t="s">
        <v>44</v>
      </c>
      <c r="D1076" t="s">
        <v>40</v>
      </c>
    </row>
    <row r="1077" spans="1:4" x14ac:dyDescent="0.25">
      <c r="A1077" t="str">
        <f>"113"</f>
        <v>113</v>
      </c>
      <c r="B1077" t="s">
        <v>1285</v>
      </c>
      <c r="C1077" t="s">
        <v>46</v>
      </c>
      <c r="D1077" t="s">
        <v>17</v>
      </c>
    </row>
    <row r="1078" spans="1:4" x14ac:dyDescent="0.25">
      <c r="A1078" t="str">
        <f>"143"</f>
        <v>143</v>
      </c>
      <c r="B1078" t="s">
        <v>1286</v>
      </c>
      <c r="C1078" t="s">
        <v>96</v>
      </c>
      <c r="D1078" t="s">
        <v>97</v>
      </c>
    </row>
    <row r="1079" spans="1:4" x14ac:dyDescent="0.25">
      <c r="A1079" t="str">
        <f>"146"</f>
        <v>146</v>
      </c>
      <c r="B1079" t="s">
        <v>1287</v>
      </c>
      <c r="C1079" t="s">
        <v>111</v>
      </c>
      <c r="D1079" t="s">
        <v>40</v>
      </c>
    </row>
    <row r="1080" spans="1:4" x14ac:dyDescent="0.25">
      <c r="A1080" t="str">
        <f>"147"</f>
        <v>147</v>
      </c>
      <c r="B1080" t="s">
        <v>1288</v>
      </c>
      <c r="C1080" t="s">
        <v>272</v>
      </c>
      <c r="D1080" t="s">
        <v>40</v>
      </c>
    </row>
    <row r="1081" spans="1:4" x14ac:dyDescent="0.25">
      <c r="A1081" t="str">
        <f>"163"</f>
        <v>163</v>
      </c>
      <c r="B1081" t="s">
        <v>1289</v>
      </c>
      <c r="C1081" t="s">
        <v>84</v>
      </c>
      <c r="D1081" t="s">
        <v>73</v>
      </c>
    </row>
    <row r="1082" spans="1:4" x14ac:dyDescent="0.25">
      <c r="A1082" t="str">
        <f>"189"</f>
        <v>189</v>
      </c>
      <c r="B1082" t="s">
        <v>1290</v>
      </c>
      <c r="C1082" t="s">
        <v>272</v>
      </c>
      <c r="D1082" t="s">
        <v>73</v>
      </c>
    </row>
    <row r="1083" spans="1:4" x14ac:dyDescent="0.25">
      <c r="A1083" t="str">
        <f>"195"</f>
        <v>195</v>
      </c>
      <c r="B1083" t="s">
        <v>1291</v>
      </c>
      <c r="C1083" t="s">
        <v>272</v>
      </c>
      <c r="D1083" t="s">
        <v>73</v>
      </c>
    </row>
    <row r="1084" spans="1:4" x14ac:dyDescent="0.25">
      <c r="A1084" t="str">
        <f>"20034"</f>
        <v>20034</v>
      </c>
      <c r="B1084" t="s">
        <v>1292</v>
      </c>
      <c r="C1084" t="s">
        <v>1293</v>
      </c>
      <c r="D1084" t="s">
        <v>1293</v>
      </c>
    </row>
    <row r="1085" spans="1:4" x14ac:dyDescent="0.25">
      <c r="A1085" t="str">
        <f>"20035"</f>
        <v>20035</v>
      </c>
      <c r="B1085" t="s">
        <v>1294</v>
      </c>
      <c r="C1085" t="s">
        <v>1295</v>
      </c>
      <c r="D1085" t="s">
        <v>67</v>
      </c>
    </row>
    <row r="1086" spans="1:4" x14ac:dyDescent="0.25">
      <c r="A1086" t="str">
        <f>"20040"</f>
        <v>20040</v>
      </c>
      <c r="B1086" t="s">
        <v>1296</v>
      </c>
      <c r="C1086" t="s">
        <v>280</v>
      </c>
      <c r="D1086" t="s">
        <v>80</v>
      </c>
    </row>
    <row r="1087" spans="1:4" x14ac:dyDescent="0.25">
      <c r="A1087" t="str">
        <f>"20059"</f>
        <v>20059</v>
      </c>
      <c r="B1087" t="s">
        <v>1297</v>
      </c>
      <c r="C1087" t="s">
        <v>280</v>
      </c>
      <c r="D1087" t="s">
        <v>80</v>
      </c>
    </row>
    <row r="1088" spans="1:4" x14ac:dyDescent="0.25">
      <c r="A1088" t="str">
        <f>"20062"</f>
        <v>20062</v>
      </c>
      <c r="B1088" t="s">
        <v>1298</v>
      </c>
      <c r="C1088" t="s">
        <v>280</v>
      </c>
      <c r="D1088" t="s">
        <v>75</v>
      </c>
    </row>
    <row r="1089" spans="1:4" x14ac:dyDescent="0.25">
      <c r="A1089" t="str">
        <f>"20066"</f>
        <v>20066</v>
      </c>
      <c r="B1089" t="s">
        <v>1299</v>
      </c>
      <c r="C1089" t="s">
        <v>280</v>
      </c>
      <c r="D1089" t="s">
        <v>75</v>
      </c>
    </row>
    <row r="1090" spans="1:4" x14ac:dyDescent="0.25">
      <c r="A1090" t="str">
        <f>"20069"</f>
        <v>20069</v>
      </c>
      <c r="B1090" t="s">
        <v>1300</v>
      </c>
      <c r="C1090" t="s">
        <v>280</v>
      </c>
      <c r="D1090" t="s">
        <v>122</v>
      </c>
    </row>
    <row r="1091" spans="1:4" x14ac:dyDescent="0.25">
      <c r="A1091" t="str">
        <f>"20079"</f>
        <v>20079</v>
      </c>
      <c r="B1091" t="s">
        <v>1301</v>
      </c>
      <c r="C1091" t="s">
        <v>280</v>
      </c>
      <c r="D1091" t="s">
        <v>75</v>
      </c>
    </row>
    <row r="1092" spans="1:4" x14ac:dyDescent="0.25">
      <c r="A1092" t="str">
        <f>"20080"</f>
        <v>20080</v>
      </c>
      <c r="B1092" t="s">
        <v>1302</v>
      </c>
      <c r="C1092" t="s">
        <v>280</v>
      </c>
      <c r="D1092" t="s">
        <v>133</v>
      </c>
    </row>
    <row r="1093" spans="1:4" x14ac:dyDescent="0.25">
      <c r="A1093" t="str">
        <f>"20081"</f>
        <v>20081</v>
      </c>
      <c r="B1093" t="s">
        <v>1303</v>
      </c>
      <c r="C1093" t="s">
        <v>280</v>
      </c>
      <c r="D1093" t="s">
        <v>75</v>
      </c>
    </row>
    <row r="1094" spans="1:4" x14ac:dyDescent="0.25">
      <c r="A1094" t="str">
        <f>"20082"</f>
        <v>20082</v>
      </c>
      <c r="B1094" t="s">
        <v>1304</v>
      </c>
      <c r="C1094" t="s">
        <v>280</v>
      </c>
      <c r="D1094" t="s">
        <v>80</v>
      </c>
    </row>
    <row r="1095" spans="1:4" x14ac:dyDescent="0.25">
      <c r="A1095" t="str">
        <f>"20083"</f>
        <v>20083</v>
      </c>
      <c r="B1095" t="s">
        <v>1305</v>
      </c>
      <c r="C1095" t="s">
        <v>96</v>
      </c>
      <c r="D1095" t="s">
        <v>97</v>
      </c>
    </row>
    <row r="1096" spans="1:4" x14ac:dyDescent="0.25">
      <c r="A1096" t="str">
        <f>"20088"</f>
        <v>20088</v>
      </c>
      <c r="B1096" t="s">
        <v>1306</v>
      </c>
      <c r="C1096" t="s">
        <v>280</v>
      </c>
      <c r="D1096" t="s">
        <v>75</v>
      </c>
    </row>
    <row r="1097" spans="1:4" x14ac:dyDescent="0.25">
      <c r="A1097" t="str">
        <f>"20089"</f>
        <v>20089</v>
      </c>
      <c r="B1097" t="s">
        <v>1307</v>
      </c>
      <c r="C1097" t="s">
        <v>96</v>
      </c>
      <c r="D1097" t="s">
        <v>75</v>
      </c>
    </row>
    <row r="1098" spans="1:4" x14ac:dyDescent="0.25">
      <c r="A1098" t="str">
        <f>"20091"</f>
        <v>20091</v>
      </c>
      <c r="B1098" t="s">
        <v>1308</v>
      </c>
      <c r="C1098" t="s">
        <v>280</v>
      </c>
      <c r="D1098" t="s">
        <v>122</v>
      </c>
    </row>
    <row r="1099" spans="1:4" x14ac:dyDescent="0.25">
      <c r="A1099" t="str">
        <f>"20093"</f>
        <v>20093</v>
      </c>
      <c r="B1099" t="s">
        <v>1309</v>
      </c>
      <c r="C1099" t="s">
        <v>280</v>
      </c>
      <c r="D1099" t="s">
        <v>73</v>
      </c>
    </row>
    <row r="1100" spans="1:4" x14ac:dyDescent="0.25">
      <c r="A1100" t="str">
        <f>"20094"</f>
        <v>20094</v>
      </c>
      <c r="B1100" t="s">
        <v>1310</v>
      </c>
      <c r="C1100" t="s">
        <v>280</v>
      </c>
      <c r="D1100" t="s">
        <v>73</v>
      </c>
    </row>
    <row r="1101" spans="1:4" x14ac:dyDescent="0.25">
      <c r="A1101" t="str">
        <f>"20099"</f>
        <v>20099</v>
      </c>
      <c r="B1101" t="s">
        <v>1311</v>
      </c>
      <c r="C1101" t="s">
        <v>280</v>
      </c>
      <c r="D1101" t="s">
        <v>133</v>
      </c>
    </row>
    <row r="1102" spans="1:4" x14ac:dyDescent="0.25">
      <c r="A1102" t="str">
        <f>"20142"</f>
        <v>20142</v>
      </c>
      <c r="B1102" t="s">
        <v>1312</v>
      </c>
      <c r="C1102" t="s">
        <v>1313</v>
      </c>
      <c r="D1102" t="s">
        <v>122</v>
      </c>
    </row>
    <row r="1103" spans="1:4" x14ac:dyDescent="0.25">
      <c r="A1103" t="str">
        <f>"204"</f>
        <v>204</v>
      </c>
      <c r="B1103" t="s">
        <v>1314</v>
      </c>
      <c r="C1103" t="s">
        <v>22</v>
      </c>
      <c r="D1103" t="s">
        <v>80</v>
      </c>
    </row>
    <row r="1104" spans="1:4" x14ac:dyDescent="0.25">
      <c r="A1104" t="str">
        <f>"208"</f>
        <v>208</v>
      </c>
      <c r="B1104" t="s">
        <v>1315</v>
      </c>
      <c r="C1104" t="s">
        <v>64</v>
      </c>
      <c r="D1104" t="s">
        <v>75</v>
      </c>
    </row>
    <row r="1105" spans="1:4" x14ac:dyDescent="0.25">
      <c r="A1105" t="str">
        <f>"209"</f>
        <v>209</v>
      </c>
      <c r="B1105" t="s">
        <v>1316</v>
      </c>
      <c r="C1105" t="s">
        <v>33</v>
      </c>
      <c r="D1105" t="s">
        <v>80</v>
      </c>
    </row>
    <row r="1106" spans="1:4" x14ac:dyDescent="0.25">
      <c r="A1106" t="str">
        <f>"213"</f>
        <v>213</v>
      </c>
      <c r="B1106" t="s">
        <v>1317</v>
      </c>
      <c r="C1106" t="s">
        <v>111</v>
      </c>
      <c r="D1106" t="s">
        <v>176</v>
      </c>
    </row>
    <row r="1107" spans="1:4" x14ac:dyDescent="0.25">
      <c r="A1107" t="str">
        <f>"247"</f>
        <v>247</v>
      </c>
      <c r="B1107" t="s">
        <v>1318</v>
      </c>
      <c r="C1107" t="s">
        <v>44</v>
      </c>
      <c r="D1107" t="s">
        <v>97</v>
      </c>
    </row>
    <row r="1108" spans="1:4" x14ac:dyDescent="0.25">
      <c r="A1108" t="str">
        <f>"256"</f>
        <v>256</v>
      </c>
      <c r="B1108" t="s">
        <v>1319</v>
      </c>
      <c r="C1108" t="s">
        <v>33</v>
      </c>
      <c r="D1108" t="s">
        <v>292</v>
      </c>
    </row>
    <row r="1109" spans="1:4" x14ac:dyDescent="0.25">
      <c r="A1109" t="str">
        <f>"263"</f>
        <v>263</v>
      </c>
      <c r="B1109" t="s">
        <v>1320</v>
      </c>
      <c r="C1109" t="s">
        <v>44</v>
      </c>
      <c r="D1109" t="s">
        <v>19</v>
      </c>
    </row>
    <row r="1110" spans="1:4" x14ac:dyDescent="0.25">
      <c r="A1110" t="str">
        <f>"275"</f>
        <v>275</v>
      </c>
      <c r="B1110" t="s">
        <v>1321</v>
      </c>
      <c r="C1110" t="s">
        <v>72</v>
      </c>
      <c r="D1110" t="s">
        <v>97</v>
      </c>
    </row>
    <row r="1111" spans="1:4" x14ac:dyDescent="0.25">
      <c r="A1111" t="str">
        <f>"282"</f>
        <v>282</v>
      </c>
      <c r="B1111" t="s">
        <v>1322</v>
      </c>
      <c r="C1111" t="s">
        <v>96</v>
      </c>
      <c r="D1111" t="s">
        <v>40</v>
      </c>
    </row>
    <row r="1112" spans="1:4" x14ac:dyDescent="0.25">
      <c r="A1112" t="str">
        <f>"30000"</f>
        <v>30000</v>
      </c>
      <c r="B1112" t="s">
        <v>1323</v>
      </c>
      <c r="C1112" t="s">
        <v>280</v>
      </c>
      <c r="D1112" t="s">
        <v>133</v>
      </c>
    </row>
    <row r="1113" spans="1:4" x14ac:dyDescent="0.25">
      <c r="A1113" t="str">
        <f>"30002"</f>
        <v>30002</v>
      </c>
      <c r="B1113" t="s">
        <v>1324</v>
      </c>
      <c r="C1113" t="s">
        <v>280</v>
      </c>
      <c r="D1113" t="s">
        <v>133</v>
      </c>
    </row>
    <row r="1114" spans="1:4" x14ac:dyDescent="0.25">
      <c r="A1114" t="str">
        <f>"30004"</f>
        <v>30004</v>
      </c>
      <c r="B1114" t="s">
        <v>1325</v>
      </c>
      <c r="C1114" t="s">
        <v>96</v>
      </c>
      <c r="D1114" t="s">
        <v>122</v>
      </c>
    </row>
    <row r="1115" spans="1:4" x14ac:dyDescent="0.25">
      <c r="A1115" t="str">
        <f>"30005"</f>
        <v>30005</v>
      </c>
      <c r="B1115" t="s">
        <v>1326</v>
      </c>
      <c r="C1115" t="s">
        <v>280</v>
      </c>
      <c r="D1115" t="s">
        <v>19</v>
      </c>
    </row>
    <row r="1116" spans="1:4" x14ac:dyDescent="0.25">
      <c r="A1116" t="str">
        <f>"30009"</f>
        <v>30009</v>
      </c>
      <c r="B1116" t="s">
        <v>1327</v>
      </c>
      <c r="C1116" t="s">
        <v>280</v>
      </c>
      <c r="D1116" t="s">
        <v>40</v>
      </c>
    </row>
    <row r="1117" spans="1:4" x14ac:dyDescent="0.25">
      <c r="A1117" t="str">
        <f>"30010"</f>
        <v>30010</v>
      </c>
      <c r="B1117" t="s">
        <v>1328</v>
      </c>
      <c r="C1117" t="s">
        <v>280</v>
      </c>
      <c r="D1117" t="s">
        <v>40</v>
      </c>
    </row>
    <row r="1118" spans="1:4" x14ac:dyDescent="0.25">
      <c r="A1118" t="str">
        <f>"30011"</f>
        <v>30011</v>
      </c>
      <c r="B1118" t="s">
        <v>1329</v>
      </c>
      <c r="C1118" t="s">
        <v>280</v>
      </c>
      <c r="D1118" t="s">
        <v>6</v>
      </c>
    </row>
    <row r="1119" spans="1:4" x14ac:dyDescent="0.25">
      <c r="A1119" t="str">
        <f>"30014"</f>
        <v>30014</v>
      </c>
      <c r="B1119" t="s">
        <v>1330</v>
      </c>
      <c r="C1119" t="s">
        <v>280</v>
      </c>
      <c r="D1119" t="s">
        <v>80</v>
      </c>
    </row>
    <row r="1120" spans="1:4" x14ac:dyDescent="0.25">
      <c r="A1120" t="str">
        <f>"30015"</f>
        <v>30015</v>
      </c>
      <c r="B1120" t="s">
        <v>1331</v>
      </c>
      <c r="C1120" t="s">
        <v>280</v>
      </c>
      <c r="D1120" t="s">
        <v>80</v>
      </c>
    </row>
    <row r="1121" spans="1:4" x14ac:dyDescent="0.25">
      <c r="A1121" t="str">
        <f>"30016"</f>
        <v>30016</v>
      </c>
      <c r="B1121" t="s">
        <v>1332</v>
      </c>
      <c r="C1121" t="s">
        <v>96</v>
      </c>
      <c r="D1121" t="s">
        <v>40</v>
      </c>
    </row>
    <row r="1122" spans="1:4" x14ac:dyDescent="0.25">
      <c r="A1122" t="str">
        <f>"30017"</f>
        <v>30017</v>
      </c>
      <c r="B1122" t="s">
        <v>1333</v>
      </c>
      <c r="C1122" t="s">
        <v>280</v>
      </c>
      <c r="D1122" t="s">
        <v>6</v>
      </c>
    </row>
    <row r="1123" spans="1:4" x14ac:dyDescent="0.25">
      <c r="A1123" t="str">
        <f>"30020"</f>
        <v>30020</v>
      </c>
      <c r="B1123" t="s">
        <v>1334</v>
      </c>
      <c r="C1123" t="s">
        <v>280</v>
      </c>
      <c r="D1123" t="s">
        <v>6</v>
      </c>
    </row>
    <row r="1124" spans="1:4" x14ac:dyDescent="0.25">
      <c r="A1124" t="str">
        <f>"30022"</f>
        <v>30022</v>
      </c>
      <c r="B1124" t="s">
        <v>1335</v>
      </c>
      <c r="C1124" t="s">
        <v>1295</v>
      </c>
      <c r="D1124" t="s">
        <v>67</v>
      </c>
    </row>
    <row r="1125" spans="1:4" x14ac:dyDescent="0.25">
      <c r="A1125" t="str">
        <f>"30023"</f>
        <v>30023</v>
      </c>
      <c r="B1125" t="s">
        <v>1336</v>
      </c>
      <c r="C1125" t="s">
        <v>280</v>
      </c>
      <c r="D1125" t="s">
        <v>80</v>
      </c>
    </row>
    <row r="1126" spans="1:4" x14ac:dyDescent="0.25">
      <c r="A1126" t="str">
        <f>"30024"</f>
        <v>30024</v>
      </c>
      <c r="B1126" t="s">
        <v>1337</v>
      </c>
      <c r="C1126" t="s">
        <v>280</v>
      </c>
      <c r="D1126" t="s">
        <v>133</v>
      </c>
    </row>
    <row r="1127" spans="1:4" x14ac:dyDescent="0.25">
      <c r="A1127" t="str">
        <f>"30026"</f>
        <v>30026</v>
      </c>
      <c r="B1127" t="s">
        <v>1338</v>
      </c>
      <c r="C1127" t="s">
        <v>280</v>
      </c>
      <c r="D1127" t="s">
        <v>40</v>
      </c>
    </row>
    <row r="1128" spans="1:4" x14ac:dyDescent="0.25">
      <c r="A1128" t="str">
        <f>"30027"</f>
        <v>30027</v>
      </c>
      <c r="B1128" t="s">
        <v>1339</v>
      </c>
      <c r="C1128" t="s">
        <v>280</v>
      </c>
      <c r="D1128" t="s">
        <v>97</v>
      </c>
    </row>
    <row r="1129" spans="1:4" x14ac:dyDescent="0.25">
      <c r="A1129" t="str">
        <f>"30029"</f>
        <v>30029</v>
      </c>
      <c r="B1129" t="s">
        <v>1340</v>
      </c>
      <c r="C1129" t="s">
        <v>280</v>
      </c>
      <c r="D1129" t="s">
        <v>40</v>
      </c>
    </row>
    <row r="1130" spans="1:4" x14ac:dyDescent="0.25">
      <c r="A1130" t="str">
        <f>"30030"</f>
        <v>30030</v>
      </c>
      <c r="B1130" t="s">
        <v>1341</v>
      </c>
      <c r="C1130" t="s">
        <v>96</v>
      </c>
      <c r="D1130" t="s">
        <v>292</v>
      </c>
    </row>
    <row r="1131" spans="1:4" x14ac:dyDescent="0.25">
      <c r="A1131" t="str">
        <f>"30031"</f>
        <v>30031</v>
      </c>
      <c r="B1131" t="s">
        <v>1342</v>
      </c>
      <c r="C1131" t="s">
        <v>96</v>
      </c>
      <c r="D1131" t="s">
        <v>292</v>
      </c>
    </row>
    <row r="1132" spans="1:4" x14ac:dyDescent="0.25">
      <c r="A1132" t="str">
        <f>"30033"</f>
        <v>30033</v>
      </c>
      <c r="B1132" t="s">
        <v>1343</v>
      </c>
      <c r="C1132" t="s">
        <v>853</v>
      </c>
      <c r="D1132" t="s">
        <v>133</v>
      </c>
    </row>
    <row r="1133" spans="1:4" x14ac:dyDescent="0.25">
      <c r="A1133" t="str">
        <f>"30035"</f>
        <v>30035</v>
      </c>
      <c r="B1133" t="s">
        <v>1344</v>
      </c>
      <c r="C1133" t="s">
        <v>96</v>
      </c>
      <c r="D1133" t="s">
        <v>292</v>
      </c>
    </row>
    <row r="1134" spans="1:4" x14ac:dyDescent="0.25">
      <c r="A1134" t="str">
        <f>"30037"</f>
        <v>30037</v>
      </c>
      <c r="B1134" t="s">
        <v>1345</v>
      </c>
      <c r="C1134" t="s">
        <v>280</v>
      </c>
      <c r="D1134" t="s">
        <v>73</v>
      </c>
    </row>
    <row r="1135" spans="1:4" x14ac:dyDescent="0.25">
      <c r="A1135" t="str">
        <f>"30039"</f>
        <v>30039</v>
      </c>
      <c r="B1135" t="s">
        <v>1346</v>
      </c>
      <c r="C1135" t="s">
        <v>280</v>
      </c>
      <c r="D1135" t="s">
        <v>73</v>
      </c>
    </row>
    <row r="1136" spans="1:4" x14ac:dyDescent="0.25">
      <c r="A1136" t="str">
        <f>"30040"</f>
        <v>30040</v>
      </c>
      <c r="B1136" t="s">
        <v>1347</v>
      </c>
      <c r="C1136" t="s">
        <v>280</v>
      </c>
      <c r="D1136" t="s">
        <v>40</v>
      </c>
    </row>
    <row r="1137" spans="1:4" x14ac:dyDescent="0.25">
      <c r="A1137" t="str">
        <f>"30042"</f>
        <v>30042</v>
      </c>
      <c r="B1137" t="s">
        <v>1348</v>
      </c>
      <c r="C1137" t="s">
        <v>280</v>
      </c>
      <c r="D1137" t="s">
        <v>75</v>
      </c>
    </row>
    <row r="1138" spans="1:4" x14ac:dyDescent="0.25">
      <c r="A1138" t="str">
        <f>"30043"</f>
        <v>30043</v>
      </c>
      <c r="B1138" t="s">
        <v>1349</v>
      </c>
      <c r="C1138" t="s">
        <v>280</v>
      </c>
      <c r="D1138" t="s">
        <v>75</v>
      </c>
    </row>
    <row r="1139" spans="1:4" x14ac:dyDescent="0.25">
      <c r="A1139" t="str">
        <f>"30044"</f>
        <v>30044</v>
      </c>
      <c r="B1139" t="s">
        <v>1350</v>
      </c>
      <c r="C1139" t="s">
        <v>280</v>
      </c>
      <c r="D1139" t="s">
        <v>75</v>
      </c>
    </row>
    <row r="1140" spans="1:4" x14ac:dyDescent="0.25">
      <c r="A1140" t="str">
        <f>"30045"</f>
        <v>30045</v>
      </c>
      <c r="B1140" t="s">
        <v>1351</v>
      </c>
      <c r="C1140" t="s">
        <v>280</v>
      </c>
      <c r="D1140" t="s">
        <v>80</v>
      </c>
    </row>
    <row r="1141" spans="1:4" x14ac:dyDescent="0.25">
      <c r="A1141" t="str">
        <f>"30046"</f>
        <v>30046</v>
      </c>
      <c r="B1141" t="s">
        <v>1352</v>
      </c>
      <c r="C1141" t="s">
        <v>280</v>
      </c>
      <c r="D1141" t="s">
        <v>80</v>
      </c>
    </row>
    <row r="1142" spans="1:4" x14ac:dyDescent="0.25">
      <c r="A1142" t="str">
        <f>"30047"</f>
        <v>30047</v>
      </c>
      <c r="B1142" t="s">
        <v>1353</v>
      </c>
      <c r="C1142" t="s">
        <v>280</v>
      </c>
      <c r="D1142" t="s">
        <v>133</v>
      </c>
    </row>
    <row r="1143" spans="1:4" x14ac:dyDescent="0.25">
      <c r="A1143" t="str">
        <f>"30048"</f>
        <v>30048</v>
      </c>
      <c r="B1143" t="s">
        <v>1354</v>
      </c>
      <c r="C1143" t="s">
        <v>280</v>
      </c>
      <c r="D1143" t="s">
        <v>6</v>
      </c>
    </row>
    <row r="1144" spans="1:4" x14ac:dyDescent="0.25">
      <c r="A1144" t="str">
        <f>"30049"</f>
        <v>30049</v>
      </c>
      <c r="B1144" t="s">
        <v>1355</v>
      </c>
      <c r="C1144" t="s">
        <v>96</v>
      </c>
      <c r="D1144" t="s">
        <v>40</v>
      </c>
    </row>
    <row r="1145" spans="1:4" x14ac:dyDescent="0.25">
      <c r="A1145" t="str">
        <f>"30050"</f>
        <v>30050</v>
      </c>
      <c r="B1145" t="s">
        <v>1356</v>
      </c>
      <c r="C1145" t="s">
        <v>96</v>
      </c>
      <c r="D1145" t="s">
        <v>40</v>
      </c>
    </row>
    <row r="1146" spans="1:4" x14ac:dyDescent="0.25">
      <c r="A1146" t="str">
        <f>"30051"</f>
        <v>30051</v>
      </c>
      <c r="B1146" t="s">
        <v>1357</v>
      </c>
      <c r="C1146" t="s">
        <v>280</v>
      </c>
      <c r="D1146" t="s">
        <v>40</v>
      </c>
    </row>
    <row r="1147" spans="1:4" x14ac:dyDescent="0.25">
      <c r="A1147" t="str">
        <f>"30054"</f>
        <v>30054</v>
      </c>
      <c r="B1147" t="s">
        <v>1358</v>
      </c>
      <c r="C1147" t="s">
        <v>280</v>
      </c>
      <c r="D1147" t="s">
        <v>40</v>
      </c>
    </row>
    <row r="1148" spans="1:4" x14ac:dyDescent="0.25">
      <c r="A1148" t="str">
        <f>"30055"</f>
        <v>30055</v>
      </c>
      <c r="B1148" t="s">
        <v>1359</v>
      </c>
      <c r="C1148" t="s">
        <v>280</v>
      </c>
      <c r="D1148" t="s">
        <v>65</v>
      </c>
    </row>
    <row r="1149" spans="1:4" x14ac:dyDescent="0.25">
      <c r="A1149" t="str">
        <f>"30056"</f>
        <v>30056</v>
      </c>
      <c r="B1149" t="s">
        <v>1360</v>
      </c>
      <c r="C1149" t="s">
        <v>280</v>
      </c>
      <c r="D1149" t="s">
        <v>80</v>
      </c>
    </row>
    <row r="1150" spans="1:4" x14ac:dyDescent="0.25">
      <c r="A1150" t="str">
        <f>"30057"</f>
        <v>30057</v>
      </c>
      <c r="B1150" t="s">
        <v>1361</v>
      </c>
      <c r="C1150" t="s">
        <v>1362</v>
      </c>
      <c r="D1150" t="s">
        <v>189</v>
      </c>
    </row>
    <row r="1151" spans="1:4" x14ac:dyDescent="0.25">
      <c r="A1151" t="str">
        <f>"30058"</f>
        <v>30058</v>
      </c>
      <c r="B1151" t="s">
        <v>1363</v>
      </c>
      <c r="C1151" t="s">
        <v>1362</v>
      </c>
      <c r="D1151" t="s">
        <v>189</v>
      </c>
    </row>
    <row r="1152" spans="1:4" x14ac:dyDescent="0.25">
      <c r="A1152" t="str">
        <f>"30059"</f>
        <v>30059</v>
      </c>
      <c r="B1152" t="s">
        <v>1364</v>
      </c>
      <c r="C1152" t="s">
        <v>1362</v>
      </c>
      <c r="D1152" t="s">
        <v>189</v>
      </c>
    </row>
    <row r="1153" spans="1:4" x14ac:dyDescent="0.25">
      <c r="A1153" t="str">
        <f>"30060"</f>
        <v>30060</v>
      </c>
      <c r="B1153" t="s">
        <v>1365</v>
      </c>
      <c r="C1153" t="s">
        <v>1362</v>
      </c>
      <c r="D1153" t="s">
        <v>189</v>
      </c>
    </row>
    <row r="1154" spans="1:4" x14ac:dyDescent="0.25">
      <c r="A1154" t="str">
        <f>"30061"</f>
        <v>30061</v>
      </c>
      <c r="B1154" t="s">
        <v>1366</v>
      </c>
      <c r="C1154" t="s">
        <v>1362</v>
      </c>
      <c r="D1154" t="s">
        <v>189</v>
      </c>
    </row>
    <row r="1155" spans="1:4" x14ac:dyDescent="0.25">
      <c r="A1155" t="str">
        <f>"30062"</f>
        <v>30062</v>
      </c>
      <c r="B1155" t="s">
        <v>1367</v>
      </c>
      <c r="C1155" t="s">
        <v>1362</v>
      </c>
      <c r="D1155" t="s">
        <v>189</v>
      </c>
    </row>
    <row r="1156" spans="1:4" x14ac:dyDescent="0.25">
      <c r="A1156" t="str">
        <f>"30063"</f>
        <v>30063</v>
      </c>
      <c r="B1156" t="s">
        <v>1368</v>
      </c>
      <c r="C1156" t="s">
        <v>1362</v>
      </c>
      <c r="D1156" t="s">
        <v>189</v>
      </c>
    </row>
    <row r="1157" spans="1:4" x14ac:dyDescent="0.25">
      <c r="A1157" t="str">
        <f>"30065"</f>
        <v>30065</v>
      </c>
      <c r="B1157" t="s">
        <v>1369</v>
      </c>
      <c r="C1157" t="s">
        <v>280</v>
      </c>
      <c r="D1157" t="s">
        <v>6</v>
      </c>
    </row>
    <row r="1158" spans="1:4" x14ac:dyDescent="0.25">
      <c r="A1158" t="str">
        <f>"30066"</f>
        <v>30066</v>
      </c>
      <c r="B1158" t="s">
        <v>1370</v>
      </c>
      <c r="C1158" t="s">
        <v>280</v>
      </c>
      <c r="D1158" t="s">
        <v>6</v>
      </c>
    </row>
    <row r="1159" spans="1:4" x14ac:dyDescent="0.25">
      <c r="A1159" t="str">
        <f>"30067"</f>
        <v>30067</v>
      </c>
      <c r="B1159" t="s">
        <v>1371</v>
      </c>
      <c r="C1159" t="s">
        <v>280</v>
      </c>
      <c r="D1159" t="s">
        <v>80</v>
      </c>
    </row>
    <row r="1160" spans="1:4" x14ac:dyDescent="0.25">
      <c r="A1160" t="str">
        <f>"30068"</f>
        <v>30068</v>
      </c>
      <c r="B1160" t="s">
        <v>1372</v>
      </c>
      <c r="C1160" t="s">
        <v>280</v>
      </c>
      <c r="D1160" t="s">
        <v>73</v>
      </c>
    </row>
    <row r="1161" spans="1:4" x14ac:dyDescent="0.25">
      <c r="A1161" t="str">
        <f>"30069"</f>
        <v>30069</v>
      </c>
      <c r="B1161" t="s">
        <v>515</v>
      </c>
      <c r="C1161" t="s">
        <v>280</v>
      </c>
      <c r="D1161" t="s">
        <v>80</v>
      </c>
    </row>
    <row r="1162" spans="1:4" x14ac:dyDescent="0.25">
      <c r="A1162" t="str">
        <f>"30070"</f>
        <v>30070</v>
      </c>
      <c r="B1162" t="s">
        <v>1373</v>
      </c>
      <c r="C1162" t="s">
        <v>96</v>
      </c>
      <c r="D1162" t="s">
        <v>40</v>
      </c>
    </row>
    <row r="1163" spans="1:4" x14ac:dyDescent="0.25">
      <c r="A1163" t="str">
        <f>"30071"</f>
        <v>30071</v>
      </c>
      <c r="B1163" t="s">
        <v>1374</v>
      </c>
      <c r="C1163" t="s">
        <v>96</v>
      </c>
      <c r="D1163" t="s">
        <v>73</v>
      </c>
    </row>
    <row r="1164" spans="1:4" x14ac:dyDescent="0.25">
      <c r="A1164" t="str">
        <f>"30072"</f>
        <v>30072</v>
      </c>
      <c r="B1164" t="s">
        <v>1375</v>
      </c>
      <c r="C1164" t="s">
        <v>280</v>
      </c>
      <c r="D1164" t="s">
        <v>73</v>
      </c>
    </row>
    <row r="1165" spans="1:4" x14ac:dyDescent="0.25">
      <c r="A1165" t="str">
        <f>"30073"</f>
        <v>30073</v>
      </c>
      <c r="B1165" t="s">
        <v>1376</v>
      </c>
      <c r="C1165" t="s">
        <v>280</v>
      </c>
      <c r="D1165" t="s">
        <v>73</v>
      </c>
    </row>
    <row r="1166" spans="1:4" x14ac:dyDescent="0.25">
      <c r="A1166" t="str">
        <f>"30075"</f>
        <v>30075</v>
      </c>
      <c r="B1166" t="s">
        <v>1377</v>
      </c>
      <c r="C1166" t="s">
        <v>280</v>
      </c>
      <c r="D1166" t="s">
        <v>73</v>
      </c>
    </row>
    <row r="1167" spans="1:4" x14ac:dyDescent="0.25">
      <c r="A1167" t="str">
        <f>"30076"</f>
        <v>30076</v>
      </c>
      <c r="B1167" t="s">
        <v>1378</v>
      </c>
      <c r="C1167" t="s">
        <v>280</v>
      </c>
      <c r="D1167" t="s">
        <v>73</v>
      </c>
    </row>
    <row r="1168" spans="1:4" x14ac:dyDescent="0.25">
      <c r="A1168" t="str">
        <f>"30077"</f>
        <v>30077</v>
      </c>
      <c r="B1168" t="s">
        <v>1379</v>
      </c>
      <c r="C1168" t="s">
        <v>280</v>
      </c>
      <c r="D1168" t="s">
        <v>73</v>
      </c>
    </row>
    <row r="1169" spans="1:4" x14ac:dyDescent="0.25">
      <c r="A1169" t="str">
        <f>"30078"</f>
        <v>30078</v>
      </c>
      <c r="B1169" t="s">
        <v>1380</v>
      </c>
      <c r="C1169" t="s">
        <v>853</v>
      </c>
      <c r="D1169" t="s">
        <v>1381</v>
      </c>
    </row>
    <row r="1170" spans="1:4" x14ac:dyDescent="0.25">
      <c r="A1170" t="str">
        <f>"30079"</f>
        <v>30079</v>
      </c>
      <c r="B1170" t="s">
        <v>1382</v>
      </c>
      <c r="C1170" t="s">
        <v>853</v>
      </c>
      <c r="D1170" t="s">
        <v>1381</v>
      </c>
    </row>
    <row r="1171" spans="1:4" x14ac:dyDescent="0.25">
      <c r="A1171" t="str">
        <f>"30080"</f>
        <v>30080</v>
      </c>
      <c r="B1171" t="s">
        <v>1383</v>
      </c>
      <c r="C1171" t="s">
        <v>853</v>
      </c>
      <c r="D1171" t="s">
        <v>1381</v>
      </c>
    </row>
    <row r="1172" spans="1:4" x14ac:dyDescent="0.25">
      <c r="A1172" t="str">
        <f>"30081"</f>
        <v>30081</v>
      </c>
      <c r="B1172" t="s">
        <v>1384</v>
      </c>
      <c r="C1172" t="s">
        <v>853</v>
      </c>
      <c r="D1172" t="s">
        <v>1381</v>
      </c>
    </row>
    <row r="1173" spans="1:4" x14ac:dyDescent="0.25">
      <c r="A1173" t="str">
        <f>"30082"</f>
        <v>30082</v>
      </c>
      <c r="B1173" t="s">
        <v>1385</v>
      </c>
      <c r="C1173" t="s">
        <v>853</v>
      </c>
      <c r="D1173" t="s">
        <v>1381</v>
      </c>
    </row>
    <row r="1174" spans="1:4" x14ac:dyDescent="0.25">
      <c r="A1174" t="str">
        <f>"30083"</f>
        <v>30083</v>
      </c>
      <c r="B1174" t="s">
        <v>1386</v>
      </c>
      <c r="C1174" t="s">
        <v>853</v>
      </c>
      <c r="D1174" t="s">
        <v>1381</v>
      </c>
    </row>
    <row r="1175" spans="1:4" x14ac:dyDescent="0.25">
      <c r="A1175" t="str">
        <f>"30084"</f>
        <v>30084</v>
      </c>
      <c r="B1175" t="s">
        <v>1387</v>
      </c>
      <c r="C1175" t="s">
        <v>853</v>
      </c>
      <c r="D1175" t="s">
        <v>1381</v>
      </c>
    </row>
    <row r="1176" spans="1:4" x14ac:dyDescent="0.25">
      <c r="A1176" t="str">
        <f>"30085"</f>
        <v>30085</v>
      </c>
      <c r="B1176" t="s">
        <v>1388</v>
      </c>
      <c r="C1176" t="s">
        <v>853</v>
      </c>
      <c r="D1176" t="s">
        <v>1381</v>
      </c>
    </row>
    <row r="1177" spans="1:4" x14ac:dyDescent="0.25">
      <c r="A1177" t="str">
        <f>"30086"</f>
        <v>30086</v>
      </c>
      <c r="B1177" t="s">
        <v>1389</v>
      </c>
      <c r="C1177" t="s">
        <v>280</v>
      </c>
      <c r="D1177" t="s">
        <v>40</v>
      </c>
    </row>
    <row r="1178" spans="1:4" x14ac:dyDescent="0.25">
      <c r="A1178" t="str">
        <f>"30087"</f>
        <v>30087</v>
      </c>
      <c r="B1178" t="s">
        <v>1390</v>
      </c>
      <c r="C1178" t="s">
        <v>280</v>
      </c>
      <c r="D1178" t="s">
        <v>80</v>
      </c>
    </row>
    <row r="1179" spans="1:4" x14ac:dyDescent="0.25">
      <c r="A1179" t="str">
        <f>"30089"</f>
        <v>30089</v>
      </c>
      <c r="B1179" t="s">
        <v>1391</v>
      </c>
      <c r="C1179" t="s">
        <v>96</v>
      </c>
      <c r="D1179" t="s">
        <v>75</v>
      </c>
    </row>
    <row r="1180" spans="1:4" x14ac:dyDescent="0.25">
      <c r="A1180" t="str">
        <f>"30090"</f>
        <v>30090</v>
      </c>
      <c r="B1180" t="s">
        <v>1392</v>
      </c>
      <c r="C1180" t="s">
        <v>280</v>
      </c>
      <c r="D1180" t="s">
        <v>75</v>
      </c>
    </row>
    <row r="1181" spans="1:4" x14ac:dyDescent="0.25">
      <c r="A1181" t="str">
        <f>"30091"</f>
        <v>30091</v>
      </c>
      <c r="B1181" t="s">
        <v>1393</v>
      </c>
      <c r="C1181" t="s">
        <v>280</v>
      </c>
      <c r="D1181" t="s">
        <v>75</v>
      </c>
    </row>
    <row r="1182" spans="1:4" x14ac:dyDescent="0.25">
      <c r="A1182" t="str">
        <f>"30092"</f>
        <v>30092</v>
      </c>
      <c r="B1182" t="s">
        <v>1394</v>
      </c>
      <c r="C1182" t="s">
        <v>280</v>
      </c>
      <c r="D1182" t="s">
        <v>133</v>
      </c>
    </row>
    <row r="1183" spans="1:4" x14ac:dyDescent="0.25">
      <c r="A1183" t="str">
        <f>"30093"</f>
        <v>30093</v>
      </c>
      <c r="B1183" t="s">
        <v>1395</v>
      </c>
      <c r="C1183" t="s">
        <v>280</v>
      </c>
      <c r="D1183" t="s">
        <v>133</v>
      </c>
    </row>
    <row r="1184" spans="1:4" x14ac:dyDescent="0.25">
      <c r="A1184" t="str">
        <f>"30094"</f>
        <v>30094</v>
      </c>
      <c r="B1184" t="s">
        <v>1396</v>
      </c>
      <c r="C1184" t="s">
        <v>280</v>
      </c>
      <c r="D1184" t="s">
        <v>6</v>
      </c>
    </row>
    <row r="1185" spans="1:4" x14ac:dyDescent="0.25">
      <c r="A1185" t="str">
        <f>"30095"</f>
        <v>30095</v>
      </c>
      <c r="B1185" t="s">
        <v>1397</v>
      </c>
      <c r="C1185" t="s">
        <v>280</v>
      </c>
      <c r="D1185" t="s">
        <v>6</v>
      </c>
    </row>
    <row r="1186" spans="1:4" x14ac:dyDescent="0.25">
      <c r="A1186" t="str">
        <f>"30096"</f>
        <v>30096</v>
      </c>
      <c r="B1186" t="s">
        <v>1398</v>
      </c>
      <c r="C1186" t="s">
        <v>280</v>
      </c>
      <c r="D1186" t="s">
        <v>40</v>
      </c>
    </row>
    <row r="1187" spans="1:4" x14ac:dyDescent="0.25">
      <c r="A1187" t="str">
        <f>"30097"</f>
        <v>30097</v>
      </c>
      <c r="B1187" t="s">
        <v>1399</v>
      </c>
      <c r="C1187" t="s">
        <v>280</v>
      </c>
      <c r="D1187" t="s">
        <v>19</v>
      </c>
    </row>
    <row r="1188" spans="1:4" x14ac:dyDescent="0.25">
      <c r="A1188" t="str">
        <f>"30098"</f>
        <v>30098</v>
      </c>
      <c r="B1188" t="s">
        <v>1400</v>
      </c>
      <c r="C1188" t="s">
        <v>280</v>
      </c>
      <c r="D1188" t="s">
        <v>80</v>
      </c>
    </row>
    <row r="1189" spans="1:4" x14ac:dyDescent="0.25">
      <c r="A1189" t="str">
        <f>"30099"</f>
        <v>30099</v>
      </c>
      <c r="B1189" t="s">
        <v>1401</v>
      </c>
      <c r="C1189" t="s">
        <v>280</v>
      </c>
      <c r="D1189" t="s">
        <v>6</v>
      </c>
    </row>
    <row r="1190" spans="1:4" x14ac:dyDescent="0.25">
      <c r="A1190" t="str">
        <f>"30100"</f>
        <v>30100</v>
      </c>
      <c r="B1190" t="s">
        <v>1402</v>
      </c>
      <c r="C1190" t="s">
        <v>280</v>
      </c>
      <c r="D1190" t="s">
        <v>40</v>
      </c>
    </row>
    <row r="1191" spans="1:4" x14ac:dyDescent="0.25">
      <c r="A1191" t="str">
        <f>"30101"</f>
        <v>30101</v>
      </c>
      <c r="B1191" t="s">
        <v>1403</v>
      </c>
      <c r="C1191" t="s">
        <v>280</v>
      </c>
      <c r="D1191" t="s">
        <v>80</v>
      </c>
    </row>
    <row r="1192" spans="1:4" x14ac:dyDescent="0.25">
      <c r="A1192" t="str">
        <f>"30102"</f>
        <v>30102</v>
      </c>
      <c r="B1192" t="s">
        <v>1404</v>
      </c>
      <c r="C1192" t="s">
        <v>280</v>
      </c>
      <c r="D1192" t="s">
        <v>6</v>
      </c>
    </row>
    <row r="1193" spans="1:4" x14ac:dyDescent="0.25">
      <c r="A1193" t="str">
        <f>"30104"</f>
        <v>30104</v>
      </c>
      <c r="B1193" t="s">
        <v>1405</v>
      </c>
      <c r="C1193" t="s">
        <v>96</v>
      </c>
      <c r="D1193" t="s">
        <v>582</v>
      </c>
    </row>
    <row r="1194" spans="1:4" x14ac:dyDescent="0.25">
      <c r="A1194" t="str">
        <f>"30105"</f>
        <v>30105</v>
      </c>
      <c r="B1194" t="s">
        <v>1406</v>
      </c>
      <c r="C1194" t="s">
        <v>96</v>
      </c>
      <c r="D1194" t="s">
        <v>40</v>
      </c>
    </row>
    <row r="1195" spans="1:4" x14ac:dyDescent="0.25">
      <c r="A1195" t="str">
        <f>"30107"</f>
        <v>30107</v>
      </c>
      <c r="B1195" t="s">
        <v>1407</v>
      </c>
      <c r="C1195" t="s">
        <v>280</v>
      </c>
      <c r="D1195" t="s">
        <v>6</v>
      </c>
    </row>
    <row r="1196" spans="1:4" x14ac:dyDescent="0.25">
      <c r="A1196" t="str">
        <f>"30108"</f>
        <v>30108</v>
      </c>
      <c r="B1196" t="s">
        <v>1408</v>
      </c>
      <c r="C1196" t="s">
        <v>280</v>
      </c>
      <c r="D1196" t="s">
        <v>6</v>
      </c>
    </row>
    <row r="1197" spans="1:4" x14ac:dyDescent="0.25">
      <c r="A1197" t="str">
        <f>"30109"</f>
        <v>30109</v>
      </c>
      <c r="B1197" t="s">
        <v>1409</v>
      </c>
      <c r="C1197" t="s">
        <v>280</v>
      </c>
      <c r="D1197" t="s">
        <v>122</v>
      </c>
    </row>
    <row r="1198" spans="1:4" x14ac:dyDescent="0.25">
      <c r="A1198" t="str">
        <f>"30113"</f>
        <v>30113</v>
      </c>
      <c r="B1198" t="s">
        <v>1410</v>
      </c>
      <c r="C1198" t="s">
        <v>280</v>
      </c>
      <c r="D1198" t="s">
        <v>80</v>
      </c>
    </row>
    <row r="1199" spans="1:4" x14ac:dyDescent="0.25">
      <c r="A1199" t="str">
        <f>"30116"</f>
        <v>30116</v>
      </c>
      <c r="B1199" t="s">
        <v>1411</v>
      </c>
      <c r="C1199" t="s">
        <v>280</v>
      </c>
      <c r="D1199" t="s">
        <v>80</v>
      </c>
    </row>
    <row r="1200" spans="1:4" x14ac:dyDescent="0.25">
      <c r="A1200" t="str">
        <f>"30117"</f>
        <v>30117</v>
      </c>
      <c r="B1200" t="s">
        <v>1412</v>
      </c>
      <c r="C1200" t="s">
        <v>280</v>
      </c>
      <c r="D1200" t="s">
        <v>6</v>
      </c>
    </row>
    <row r="1201" spans="1:4" x14ac:dyDescent="0.25">
      <c r="A1201" t="str">
        <f>"30118"</f>
        <v>30118</v>
      </c>
      <c r="B1201" t="s">
        <v>1413</v>
      </c>
      <c r="C1201" t="s">
        <v>280</v>
      </c>
      <c r="D1201" t="s">
        <v>133</v>
      </c>
    </row>
    <row r="1202" spans="1:4" x14ac:dyDescent="0.25">
      <c r="A1202" t="str">
        <f>"30119"</f>
        <v>30119</v>
      </c>
      <c r="B1202" t="s">
        <v>1414</v>
      </c>
      <c r="C1202" t="s">
        <v>280</v>
      </c>
      <c r="D1202" t="s">
        <v>133</v>
      </c>
    </row>
    <row r="1203" spans="1:4" x14ac:dyDescent="0.25">
      <c r="A1203" t="str">
        <f>"30120"</f>
        <v>30120</v>
      </c>
      <c r="B1203" t="s">
        <v>1415</v>
      </c>
      <c r="C1203" t="s">
        <v>280</v>
      </c>
      <c r="D1203" t="s">
        <v>133</v>
      </c>
    </row>
    <row r="1204" spans="1:4" x14ac:dyDescent="0.25">
      <c r="A1204" t="str">
        <f>"30121"</f>
        <v>30121</v>
      </c>
      <c r="B1204" t="s">
        <v>1416</v>
      </c>
      <c r="C1204" t="s">
        <v>280</v>
      </c>
      <c r="D1204" t="s">
        <v>80</v>
      </c>
    </row>
    <row r="1205" spans="1:4" x14ac:dyDescent="0.25">
      <c r="A1205" t="str">
        <f>"30122"</f>
        <v>30122</v>
      </c>
      <c r="B1205" t="s">
        <v>1417</v>
      </c>
      <c r="C1205" t="s">
        <v>280</v>
      </c>
      <c r="D1205" t="s">
        <v>40</v>
      </c>
    </row>
    <row r="1206" spans="1:4" x14ac:dyDescent="0.25">
      <c r="A1206" t="str">
        <f>"30123"</f>
        <v>30123</v>
      </c>
      <c r="B1206" t="s">
        <v>1418</v>
      </c>
      <c r="C1206" t="s">
        <v>280</v>
      </c>
      <c r="D1206" t="s">
        <v>6</v>
      </c>
    </row>
    <row r="1207" spans="1:4" x14ac:dyDescent="0.25">
      <c r="A1207" t="str">
        <f>"30124"</f>
        <v>30124</v>
      </c>
      <c r="B1207" t="s">
        <v>1419</v>
      </c>
      <c r="C1207" t="s">
        <v>280</v>
      </c>
      <c r="D1207" t="s">
        <v>80</v>
      </c>
    </row>
    <row r="1208" spans="1:4" x14ac:dyDescent="0.25">
      <c r="A1208" t="str">
        <f>"30126"</f>
        <v>30126</v>
      </c>
      <c r="B1208" t="s">
        <v>1420</v>
      </c>
      <c r="C1208" t="s">
        <v>280</v>
      </c>
      <c r="D1208" t="s">
        <v>80</v>
      </c>
    </row>
    <row r="1209" spans="1:4" x14ac:dyDescent="0.25">
      <c r="A1209" t="str">
        <f>"30128"</f>
        <v>30128</v>
      </c>
      <c r="B1209" t="s">
        <v>1421</v>
      </c>
      <c r="C1209" t="s">
        <v>280</v>
      </c>
      <c r="D1209" t="s">
        <v>122</v>
      </c>
    </row>
    <row r="1210" spans="1:4" x14ac:dyDescent="0.25">
      <c r="A1210" t="str">
        <f>"30129"</f>
        <v>30129</v>
      </c>
      <c r="B1210" t="s">
        <v>1422</v>
      </c>
      <c r="C1210" t="s">
        <v>280</v>
      </c>
      <c r="D1210" t="s">
        <v>80</v>
      </c>
    </row>
    <row r="1211" spans="1:4" x14ac:dyDescent="0.25">
      <c r="A1211" t="str">
        <f>"30130"</f>
        <v>30130</v>
      </c>
      <c r="B1211" t="s">
        <v>1423</v>
      </c>
      <c r="C1211" t="s">
        <v>280</v>
      </c>
      <c r="D1211" t="s">
        <v>6</v>
      </c>
    </row>
    <row r="1212" spans="1:4" x14ac:dyDescent="0.25">
      <c r="A1212" t="str">
        <f>"30131"</f>
        <v>30131</v>
      </c>
      <c r="B1212" t="s">
        <v>1424</v>
      </c>
      <c r="C1212" t="s">
        <v>1425</v>
      </c>
      <c r="D1212" t="s">
        <v>40</v>
      </c>
    </row>
    <row r="1213" spans="1:4" x14ac:dyDescent="0.25">
      <c r="A1213" t="str">
        <f>"30132"</f>
        <v>30132</v>
      </c>
      <c r="B1213" t="s">
        <v>1426</v>
      </c>
      <c r="C1213" t="s">
        <v>280</v>
      </c>
      <c r="D1213" t="s">
        <v>122</v>
      </c>
    </row>
    <row r="1214" spans="1:4" x14ac:dyDescent="0.25">
      <c r="A1214" t="str">
        <f>"30133"</f>
        <v>30133</v>
      </c>
      <c r="B1214" t="s">
        <v>1427</v>
      </c>
      <c r="C1214" t="s">
        <v>1428</v>
      </c>
      <c r="D1214" t="s">
        <v>40</v>
      </c>
    </row>
    <row r="1215" spans="1:4" x14ac:dyDescent="0.25">
      <c r="A1215" t="str">
        <f>"30134"</f>
        <v>30134</v>
      </c>
      <c r="B1215" t="s">
        <v>1429</v>
      </c>
      <c r="C1215" t="s">
        <v>280</v>
      </c>
      <c r="D1215" t="s">
        <v>40</v>
      </c>
    </row>
    <row r="1216" spans="1:4" x14ac:dyDescent="0.25">
      <c r="A1216" t="str">
        <f>"30135"</f>
        <v>30135</v>
      </c>
      <c r="B1216" t="s">
        <v>1430</v>
      </c>
      <c r="C1216" t="s">
        <v>96</v>
      </c>
      <c r="D1216" t="s">
        <v>40</v>
      </c>
    </row>
    <row r="1217" spans="1:4" x14ac:dyDescent="0.25">
      <c r="A1217" t="str">
        <f>"30136"</f>
        <v>30136</v>
      </c>
      <c r="B1217" t="s">
        <v>1431</v>
      </c>
      <c r="C1217" t="s">
        <v>96</v>
      </c>
      <c r="D1217" t="s">
        <v>40</v>
      </c>
    </row>
    <row r="1218" spans="1:4" x14ac:dyDescent="0.25">
      <c r="A1218" t="str">
        <f>"30137"</f>
        <v>30137</v>
      </c>
      <c r="B1218" t="s">
        <v>1432</v>
      </c>
      <c r="C1218" t="s">
        <v>280</v>
      </c>
      <c r="D1218" t="s">
        <v>73</v>
      </c>
    </row>
    <row r="1219" spans="1:4" x14ac:dyDescent="0.25">
      <c r="A1219" t="str">
        <f>"30138"</f>
        <v>30138</v>
      </c>
      <c r="B1219" t="s">
        <v>1433</v>
      </c>
      <c r="C1219" t="s">
        <v>280</v>
      </c>
      <c r="D1219" t="s">
        <v>133</v>
      </c>
    </row>
    <row r="1220" spans="1:4" x14ac:dyDescent="0.25">
      <c r="A1220" t="str">
        <f>"30139"</f>
        <v>30139</v>
      </c>
      <c r="B1220" t="s">
        <v>1434</v>
      </c>
      <c r="C1220" t="s">
        <v>280</v>
      </c>
      <c r="D1220" t="s">
        <v>6</v>
      </c>
    </row>
    <row r="1221" spans="1:4" x14ac:dyDescent="0.25">
      <c r="A1221" t="str">
        <f>"30140"</f>
        <v>30140</v>
      </c>
      <c r="B1221" t="s">
        <v>1435</v>
      </c>
      <c r="C1221" t="s">
        <v>280</v>
      </c>
      <c r="D1221" t="s">
        <v>6</v>
      </c>
    </row>
    <row r="1222" spans="1:4" x14ac:dyDescent="0.25">
      <c r="A1222" t="str">
        <f>"30141"</f>
        <v>30141</v>
      </c>
      <c r="B1222" t="s">
        <v>1436</v>
      </c>
      <c r="C1222" t="s">
        <v>280</v>
      </c>
      <c r="D1222" t="s">
        <v>122</v>
      </c>
    </row>
    <row r="1223" spans="1:4" x14ac:dyDescent="0.25">
      <c r="A1223" t="str">
        <f>"30142"</f>
        <v>30142</v>
      </c>
      <c r="B1223" t="s">
        <v>1437</v>
      </c>
      <c r="C1223" t="s">
        <v>280</v>
      </c>
      <c r="D1223" t="s">
        <v>6</v>
      </c>
    </row>
    <row r="1224" spans="1:4" x14ac:dyDescent="0.25">
      <c r="A1224" t="str">
        <f>"30145"</f>
        <v>30145</v>
      </c>
      <c r="B1224" t="s">
        <v>1438</v>
      </c>
      <c r="C1224" t="s">
        <v>280</v>
      </c>
      <c r="D1224" t="s">
        <v>80</v>
      </c>
    </row>
    <row r="1225" spans="1:4" x14ac:dyDescent="0.25">
      <c r="A1225" t="str">
        <f>"30149"</f>
        <v>30149</v>
      </c>
      <c r="B1225" t="s">
        <v>1439</v>
      </c>
      <c r="C1225" t="s">
        <v>280</v>
      </c>
      <c r="D1225" t="s">
        <v>287</v>
      </c>
    </row>
    <row r="1226" spans="1:4" x14ac:dyDescent="0.25">
      <c r="A1226" t="str">
        <f>"30150"</f>
        <v>30150</v>
      </c>
      <c r="B1226" t="s">
        <v>1440</v>
      </c>
      <c r="C1226" t="s">
        <v>280</v>
      </c>
      <c r="D1226" t="s">
        <v>75</v>
      </c>
    </row>
    <row r="1227" spans="1:4" x14ac:dyDescent="0.25">
      <c r="A1227" t="str">
        <f>"30151"</f>
        <v>30151</v>
      </c>
      <c r="B1227" t="s">
        <v>1441</v>
      </c>
      <c r="C1227" t="s">
        <v>280</v>
      </c>
      <c r="D1227" t="s">
        <v>65</v>
      </c>
    </row>
    <row r="1228" spans="1:4" x14ac:dyDescent="0.25">
      <c r="A1228" t="str">
        <f>"30152"</f>
        <v>30152</v>
      </c>
      <c r="B1228" t="s">
        <v>1442</v>
      </c>
      <c r="C1228" t="s">
        <v>280</v>
      </c>
      <c r="D1228" t="s">
        <v>80</v>
      </c>
    </row>
    <row r="1229" spans="1:4" x14ac:dyDescent="0.25">
      <c r="A1229" t="str">
        <f>"30154"</f>
        <v>30154</v>
      </c>
      <c r="B1229" t="s">
        <v>1443</v>
      </c>
      <c r="C1229" t="s">
        <v>280</v>
      </c>
      <c r="D1229" t="s">
        <v>40</v>
      </c>
    </row>
    <row r="1230" spans="1:4" x14ac:dyDescent="0.25">
      <c r="A1230" t="str">
        <f>"30155"</f>
        <v>30155</v>
      </c>
      <c r="B1230" t="s">
        <v>1444</v>
      </c>
      <c r="C1230" t="s">
        <v>280</v>
      </c>
      <c r="D1230" t="s">
        <v>40</v>
      </c>
    </row>
    <row r="1231" spans="1:4" x14ac:dyDescent="0.25">
      <c r="A1231" t="str">
        <f>"30171"</f>
        <v>30171</v>
      </c>
      <c r="B1231" t="s">
        <v>1445</v>
      </c>
      <c r="C1231" t="s">
        <v>1428</v>
      </c>
      <c r="D1231" t="s">
        <v>75</v>
      </c>
    </row>
    <row r="1232" spans="1:4" x14ac:dyDescent="0.25">
      <c r="A1232" t="str">
        <f>"30189"</f>
        <v>30189</v>
      </c>
      <c r="B1232" t="s">
        <v>1446</v>
      </c>
      <c r="C1232" t="s">
        <v>280</v>
      </c>
      <c r="D1232" t="s">
        <v>40</v>
      </c>
    </row>
    <row r="1233" spans="1:4" x14ac:dyDescent="0.25">
      <c r="A1233" t="str">
        <f>"30190"</f>
        <v>30190</v>
      </c>
      <c r="B1233" t="s">
        <v>1447</v>
      </c>
      <c r="C1233" t="s">
        <v>280</v>
      </c>
      <c r="D1233" t="s">
        <v>40</v>
      </c>
    </row>
    <row r="1234" spans="1:4" x14ac:dyDescent="0.25">
      <c r="A1234" t="str">
        <f>"30191"</f>
        <v>30191</v>
      </c>
      <c r="B1234" t="s">
        <v>1448</v>
      </c>
      <c r="C1234" t="s">
        <v>280</v>
      </c>
      <c r="D1234" t="s">
        <v>40</v>
      </c>
    </row>
    <row r="1235" spans="1:4" x14ac:dyDescent="0.25">
      <c r="A1235" t="str">
        <f>"30192"</f>
        <v>30192</v>
      </c>
      <c r="B1235" t="s">
        <v>1449</v>
      </c>
      <c r="C1235" t="s">
        <v>280</v>
      </c>
      <c r="D1235" t="s">
        <v>40</v>
      </c>
    </row>
    <row r="1236" spans="1:4" x14ac:dyDescent="0.25">
      <c r="A1236" t="str">
        <f>"30193"</f>
        <v>30193</v>
      </c>
      <c r="B1236" t="s">
        <v>1450</v>
      </c>
      <c r="C1236" t="s">
        <v>280</v>
      </c>
      <c r="D1236" t="s">
        <v>40</v>
      </c>
    </row>
    <row r="1237" spans="1:4" x14ac:dyDescent="0.25">
      <c r="A1237" t="str">
        <f>"30194"</f>
        <v>30194</v>
      </c>
      <c r="B1237" t="s">
        <v>1451</v>
      </c>
      <c r="C1237" t="s">
        <v>1428</v>
      </c>
      <c r="D1237" t="s">
        <v>80</v>
      </c>
    </row>
    <row r="1238" spans="1:4" x14ac:dyDescent="0.25">
      <c r="A1238" t="str">
        <f>"30195"</f>
        <v>30195</v>
      </c>
      <c r="B1238" t="s">
        <v>1452</v>
      </c>
      <c r="C1238" t="s">
        <v>280</v>
      </c>
      <c r="D1238" t="s">
        <v>80</v>
      </c>
    </row>
    <row r="1239" spans="1:4" x14ac:dyDescent="0.25">
      <c r="A1239" t="str">
        <f>"30196"</f>
        <v>30196</v>
      </c>
      <c r="B1239" t="s">
        <v>1453</v>
      </c>
      <c r="C1239" t="s">
        <v>280</v>
      </c>
      <c r="D1239" t="s">
        <v>40</v>
      </c>
    </row>
    <row r="1240" spans="1:4" x14ac:dyDescent="0.25">
      <c r="A1240" t="str">
        <f>"30197"</f>
        <v>30197</v>
      </c>
      <c r="B1240" t="s">
        <v>1454</v>
      </c>
      <c r="C1240" t="s">
        <v>280</v>
      </c>
      <c r="D1240" t="s">
        <v>40</v>
      </c>
    </row>
    <row r="1241" spans="1:4" x14ac:dyDescent="0.25">
      <c r="A1241" t="str">
        <f>"30198"</f>
        <v>30198</v>
      </c>
      <c r="B1241" t="s">
        <v>1455</v>
      </c>
      <c r="C1241" t="s">
        <v>280</v>
      </c>
      <c r="D1241" t="s">
        <v>40</v>
      </c>
    </row>
    <row r="1242" spans="1:4" x14ac:dyDescent="0.25">
      <c r="A1242" t="str">
        <f>"30199"</f>
        <v>30199</v>
      </c>
      <c r="B1242" t="s">
        <v>1456</v>
      </c>
      <c r="C1242" t="s">
        <v>280</v>
      </c>
      <c r="D1242" t="s">
        <v>40</v>
      </c>
    </row>
    <row r="1243" spans="1:4" x14ac:dyDescent="0.25">
      <c r="A1243" t="str">
        <f>"30200"</f>
        <v>30200</v>
      </c>
      <c r="B1243" t="s">
        <v>1457</v>
      </c>
      <c r="C1243" t="s">
        <v>280</v>
      </c>
      <c r="D1243" t="s">
        <v>75</v>
      </c>
    </row>
    <row r="1244" spans="1:4" x14ac:dyDescent="0.25">
      <c r="A1244" t="str">
        <f>"30201"</f>
        <v>30201</v>
      </c>
      <c r="B1244" t="s">
        <v>1458</v>
      </c>
      <c r="C1244" t="s">
        <v>280</v>
      </c>
      <c r="D1244" t="s">
        <v>6</v>
      </c>
    </row>
    <row r="1245" spans="1:4" x14ac:dyDescent="0.25">
      <c r="A1245" t="str">
        <f>"30202"</f>
        <v>30202</v>
      </c>
      <c r="B1245" t="s">
        <v>1459</v>
      </c>
      <c r="C1245" t="s">
        <v>1460</v>
      </c>
      <c r="D1245" t="s">
        <v>85</v>
      </c>
    </row>
    <row r="1246" spans="1:4" x14ac:dyDescent="0.25">
      <c r="A1246" t="str">
        <f>"30203"</f>
        <v>30203</v>
      </c>
      <c r="B1246" t="s">
        <v>1461</v>
      </c>
      <c r="C1246" t="s">
        <v>280</v>
      </c>
      <c r="D1246" t="s">
        <v>80</v>
      </c>
    </row>
    <row r="1247" spans="1:4" x14ac:dyDescent="0.25">
      <c r="A1247" t="str">
        <f>"30204"</f>
        <v>30204</v>
      </c>
      <c r="B1247" t="s">
        <v>1462</v>
      </c>
      <c r="C1247" t="s">
        <v>280</v>
      </c>
      <c r="D1247" t="s">
        <v>40</v>
      </c>
    </row>
    <row r="1248" spans="1:4" x14ac:dyDescent="0.25">
      <c r="A1248" t="str">
        <f>"30205"</f>
        <v>30205</v>
      </c>
      <c r="B1248" t="s">
        <v>1463</v>
      </c>
      <c r="C1248" t="s">
        <v>1428</v>
      </c>
      <c r="D1248" t="s">
        <v>67</v>
      </c>
    </row>
    <row r="1249" spans="1:4" x14ac:dyDescent="0.25">
      <c r="A1249" t="str">
        <f>"30206"</f>
        <v>30206</v>
      </c>
      <c r="B1249" t="s">
        <v>1464</v>
      </c>
      <c r="C1249" t="s">
        <v>280</v>
      </c>
      <c r="D1249" t="s">
        <v>40</v>
      </c>
    </row>
    <row r="1250" spans="1:4" x14ac:dyDescent="0.25">
      <c r="A1250" t="str">
        <f>"30207"</f>
        <v>30207</v>
      </c>
      <c r="B1250" t="s">
        <v>1465</v>
      </c>
      <c r="C1250" t="s">
        <v>280</v>
      </c>
      <c r="D1250" t="s">
        <v>6</v>
      </c>
    </row>
    <row r="1251" spans="1:4" x14ac:dyDescent="0.25">
      <c r="A1251" t="str">
        <f>"30208"</f>
        <v>30208</v>
      </c>
      <c r="B1251" t="s">
        <v>1466</v>
      </c>
      <c r="C1251" t="s">
        <v>280</v>
      </c>
      <c r="D1251" t="s">
        <v>122</v>
      </c>
    </row>
    <row r="1252" spans="1:4" x14ac:dyDescent="0.25">
      <c r="A1252" t="str">
        <f>"30211"</f>
        <v>30211</v>
      </c>
      <c r="B1252" t="s">
        <v>1467</v>
      </c>
      <c r="C1252" t="s">
        <v>1428</v>
      </c>
      <c r="D1252" t="s">
        <v>85</v>
      </c>
    </row>
    <row r="1253" spans="1:4" x14ac:dyDescent="0.25">
      <c r="A1253" t="str">
        <f>"30212"</f>
        <v>30212</v>
      </c>
      <c r="B1253" t="s">
        <v>1468</v>
      </c>
      <c r="C1253" t="s">
        <v>659</v>
      </c>
      <c r="D1253" t="s">
        <v>19</v>
      </c>
    </row>
    <row r="1254" spans="1:4" x14ac:dyDescent="0.25">
      <c r="A1254" t="str">
        <f>"30214"</f>
        <v>30214</v>
      </c>
      <c r="B1254" t="s">
        <v>1469</v>
      </c>
      <c r="C1254" t="s">
        <v>280</v>
      </c>
      <c r="D1254" t="s">
        <v>40</v>
      </c>
    </row>
    <row r="1255" spans="1:4" x14ac:dyDescent="0.25">
      <c r="A1255" t="str">
        <f>"30235"</f>
        <v>30235</v>
      </c>
      <c r="B1255" t="s">
        <v>1470</v>
      </c>
      <c r="C1255" t="s">
        <v>280</v>
      </c>
      <c r="D1255" t="s">
        <v>122</v>
      </c>
    </row>
    <row r="1256" spans="1:4" x14ac:dyDescent="0.25">
      <c r="A1256" t="str">
        <f>"30237"</f>
        <v>30237</v>
      </c>
      <c r="B1256" t="s">
        <v>1471</v>
      </c>
      <c r="C1256" t="s">
        <v>280</v>
      </c>
      <c r="D1256" t="s">
        <v>133</v>
      </c>
    </row>
    <row r="1257" spans="1:4" x14ac:dyDescent="0.25">
      <c r="A1257" t="str">
        <f>"30238"</f>
        <v>30238</v>
      </c>
      <c r="B1257" t="s">
        <v>1472</v>
      </c>
      <c r="C1257" t="s">
        <v>280</v>
      </c>
      <c r="D1257" t="s">
        <v>133</v>
      </c>
    </row>
    <row r="1258" spans="1:4" x14ac:dyDescent="0.25">
      <c r="A1258" t="str">
        <f>"30239"</f>
        <v>30239</v>
      </c>
      <c r="B1258" t="s">
        <v>1473</v>
      </c>
      <c r="C1258" t="s">
        <v>280</v>
      </c>
      <c r="D1258" t="s">
        <v>80</v>
      </c>
    </row>
    <row r="1259" spans="1:4" x14ac:dyDescent="0.25">
      <c r="A1259" t="str">
        <f>"30240"</f>
        <v>30240</v>
      </c>
      <c r="B1259" t="s">
        <v>1474</v>
      </c>
      <c r="C1259" t="s">
        <v>280</v>
      </c>
      <c r="D1259" t="s">
        <v>80</v>
      </c>
    </row>
    <row r="1260" spans="1:4" x14ac:dyDescent="0.25">
      <c r="A1260" t="str">
        <f>"30241"</f>
        <v>30241</v>
      </c>
      <c r="B1260" t="s">
        <v>1475</v>
      </c>
      <c r="C1260" t="s">
        <v>280</v>
      </c>
      <c r="D1260" t="s">
        <v>80</v>
      </c>
    </row>
    <row r="1261" spans="1:4" x14ac:dyDescent="0.25">
      <c r="A1261" t="str">
        <f>"30243"</f>
        <v>30243</v>
      </c>
      <c r="B1261" t="s">
        <v>1476</v>
      </c>
      <c r="C1261" t="s">
        <v>280</v>
      </c>
      <c r="D1261" t="s">
        <v>122</v>
      </c>
    </row>
    <row r="1262" spans="1:4" x14ac:dyDescent="0.25">
      <c r="A1262" t="str">
        <f>"30244"</f>
        <v>30244</v>
      </c>
      <c r="B1262" t="s">
        <v>1477</v>
      </c>
      <c r="C1262" t="s">
        <v>280</v>
      </c>
      <c r="D1262" t="s">
        <v>75</v>
      </c>
    </row>
    <row r="1263" spans="1:4" x14ac:dyDescent="0.25">
      <c r="A1263" t="str">
        <f>"30245"</f>
        <v>30245</v>
      </c>
      <c r="B1263" t="s">
        <v>1478</v>
      </c>
      <c r="C1263" t="s">
        <v>280</v>
      </c>
      <c r="D1263" t="s">
        <v>40</v>
      </c>
    </row>
    <row r="1264" spans="1:4" x14ac:dyDescent="0.25">
      <c r="A1264" t="str">
        <f>"30246"</f>
        <v>30246</v>
      </c>
      <c r="B1264" t="s">
        <v>1479</v>
      </c>
      <c r="C1264" t="s">
        <v>1313</v>
      </c>
      <c r="D1264" t="s">
        <v>122</v>
      </c>
    </row>
    <row r="1265" spans="1:4" x14ac:dyDescent="0.25">
      <c r="A1265" t="str">
        <f>"30247"</f>
        <v>30247</v>
      </c>
      <c r="B1265" t="s">
        <v>1480</v>
      </c>
      <c r="C1265" t="s">
        <v>280</v>
      </c>
      <c r="D1265" t="s">
        <v>80</v>
      </c>
    </row>
    <row r="1266" spans="1:4" x14ac:dyDescent="0.25">
      <c r="A1266" t="str">
        <f>"30249"</f>
        <v>30249</v>
      </c>
      <c r="B1266" t="s">
        <v>1481</v>
      </c>
      <c r="C1266" t="s">
        <v>280</v>
      </c>
      <c r="D1266" t="s">
        <v>122</v>
      </c>
    </row>
    <row r="1267" spans="1:4" x14ac:dyDescent="0.25">
      <c r="A1267" t="str">
        <f>"30307"</f>
        <v>30307</v>
      </c>
      <c r="B1267" t="s">
        <v>1482</v>
      </c>
      <c r="C1267" t="s">
        <v>280</v>
      </c>
      <c r="D1267" t="s">
        <v>40</v>
      </c>
    </row>
    <row r="1268" spans="1:4" x14ac:dyDescent="0.25">
      <c r="A1268" t="str">
        <f>"30308"</f>
        <v>30308</v>
      </c>
      <c r="B1268" t="s">
        <v>1483</v>
      </c>
      <c r="C1268" t="s">
        <v>280</v>
      </c>
      <c r="D1268" t="s">
        <v>85</v>
      </c>
    </row>
    <row r="1269" spans="1:4" x14ac:dyDescent="0.25">
      <c r="A1269" t="str">
        <f>"30309"</f>
        <v>30309</v>
      </c>
      <c r="B1269" t="s">
        <v>1484</v>
      </c>
      <c r="C1269" t="s">
        <v>280</v>
      </c>
      <c r="D1269" t="s">
        <v>80</v>
      </c>
    </row>
    <row r="1270" spans="1:4" x14ac:dyDescent="0.25">
      <c r="A1270" t="str">
        <f>"30310"</f>
        <v>30310</v>
      </c>
      <c r="B1270" t="s">
        <v>1485</v>
      </c>
      <c r="C1270" t="s">
        <v>280</v>
      </c>
      <c r="D1270" t="s">
        <v>122</v>
      </c>
    </row>
    <row r="1271" spans="1:4" x14ac:dyDescent="0.25">
      <c r="A1271" t="str">
        <f>"30311"</f>
        <v>30311</v>
      </c>
      <c r="B1271" t="s">
        <v>1486</v>
      </c>
      <c r="C1271" t="s">
        <v>280</v>
      </c>
      <c r="D1271" t="s">
        <v>122</v>
      </c>
    </row>
    <row r="1272" spans="1:4" x14ac:dyDescent="0.25">
      <c r="A1272" t="str">
        <f>"30312"</f>
        <v>30312</v>
      </c>
      <c r="B1272" t="s">
        <v>1487</v>
      </c>
      <c r="C1272" t="s">
        <v>280</v>
      </c>
      <c r="D1272" t="s">
        <v>75</v>
      </c>
    </row>
    <row r="1273" spans="1:4" x14ac:dyDescent="0.25">
      <c r="A1273" t="str">
        <f>"30313"</f>
        <v>30313</v>
      </c>
      <c r="B1273" t="s">
        <v>1488</v>
      </c>
      <c r="C1273" t="s">
        <v>280</v>
      </c>
      <c r="D1273" t="s">
        <v>80</v>
      </c>
    </row>
    <row r="1274" spans="1:4" x14ac:dyDescent="0.25">
      <c r="A1274" t="str">
        <f>"30314"</f>
        <v>30314</v>
      </c>
      <c r="B1274" t="s">
        <v>1489</v>
      </c>
      <c r="C1274" t="s">
        <v>280</v>
      </c>
      <c r="D1274" t="s">
        <v>40</v>
      </c>
    </row>
    <row r="1275" spans="1:4" x14ac:dyDescent="0.25">
      <c r="A1275" t="str">
        <f>"30315"</f>
        <v>30315</v>
      </c>
      <c r="B1275" t="s">
        <v>1490</v>
      </c>
      <c r="C1275" t="s">
        <v>280</v>
      </c>
      <c r="D1275" t="s">
        <v>40</v>
      </c>
    </row>
    <row r="1276" spans="1:4" x14ac:dyDescent="0.25">
      <c r="A1276" t="str">
        <f>"30316"</f>
        <v>30316</v>
      </c>
      <c r="B1276" t="s">
        <v>1491</v>
      </c>
      <c r="C1276" t="s">
        <v>280</v>
      </c>
      <c r="D1276" t="s">
        <v>75</v>
      </c>
    </row>
    <row r="1277" spans="1:4" x14ac:dyDescent="0.25">
      <c r="A1277" t="str">
        <f>"30317"</f>
        <v>30317</v>
      </c>
      <c r="B1277" t="s">
        <v>1492</v>
      </c>
      <c r="C1277" t="s">
        <v>280</v>
      </c>
      <c r="D1277" t="s">
        <v>80</v>
      </c>
    </row>
    <row r="1278" spans="1:4" x14ac:dyDescent="0.25">
      <c r="A1278" t="str">
        <f>"30318"</f>
        <v>30318</v>
      </c>
      <c r="B1278" t="s">
        <v>1493</v>
      </c>
      <c r="C1278" t="s">
        <v>280</v>
      </c>
      <c r="D1278" t="s">
        <v>85</v>
      </c>
    </row>
    <row r="1279" spans="1:4" x14ac:dyDescent="0.25">
      <c r="A1279" t="str">
        <f>"30322"</f>
        <v>30322</v>
      </c>
      <c r="B1279" t="s">
        <v>1494</v>
      </c>
      <c r="C1279" t="s">
        <v>280</v>
      </c>
      <c r="D1279" t="s">
        <v>122</v>
      </c>
    </row>
    <row r="1280" spans="1:4" x14ac:dyDescent="0.25">
      <c r="A1280" t="str">
        <f>"30323"</f>
        <v>30323</v>
      </c>
      <c r="B1280" t="s">
        <v>1495</v>
      </c>
      <c r="C1280" t="s">
        <v>280</v>
      </c>
      <c r="D1280" t="s">
        <v>75</v>
      </c>
    </row>
    <row r="1281" spans="1:4" x14ac:dyDescent="0.25">
      <c r="A1281" t="str">
        <f>"30324"</f>
        <v>30324</v>
      </c>
      <c r="B1281" t="s">
        <v>1496</v>
      </c>
      <c r="C1281" t="s">
        <v>659</v>
      </c>
      <c r="D1281" t="s">
        <v>19</v>
      </c>
    </row>
    <row r="1282" spans="1:4" x14ac:dyDescent="0.25">
      <c r="A1282" t="str">
        <f>"30327"</f>
        <v>30327</v>
      </c>
      <c r="B1282" t="s">
        <v>1497</v>
      </c>
      <c r="C1282" t="s">
        <v>280</v>
      </c>
      <c r="D1282" t="s">
        <v>99</v>
      </c>
    </row>
    <row r="1283" spans="1:4" x14ac:dyDescent="0.25">
      <c r="A1283" t="str">
        <f>"30328"</f>
        <v>30328</v>
      </c>
      <c r="B1283" t="s">
        <v>1498</v>
      </c>
      <c r="C1283" t="s">
        <v>280</v>
      </c>
      <c r="D1283" t="s">
        <v>40</v>
      </c>
    </row>
    <row r="1284" spans="1:4" x14ac:dyDescent="0.25">
      <c r="A1284" t="str">
        <f>"30343"</f>
        <v>30343</v>
      </c>
      <c r="B1284" t="s">
        <v>1499</v>
      </c>
      <c r="C1284" t="s">
        <v>1125</v>
      </c>
      <c r="D1284" t="s">
        <v>141</v>
      </c>
    </row>
    <row r="1285" spans="1:4" x14ac:dyDescent="0.25">
      <c r="A1285" t="str">
        <f>"30344"</f>
        <v>30344</v>
      </c>
      <c r="B1285" t="s">
        <v>1500</v>
      </c>
      <c r="C1285" t="s">
        <v>280</v>
      </c>
      <c r="D1285" t="s">
        <v>6</v>
      </c>
    </row>
    <row r="1286" spans="1:4" x14ac:dyDescent="0.25">
      <c r="A1286" t="str">
        <f>"30345"</f>
        <v>30345</v>
      </c>
      <c r="B1286" t="s">
        <v>1501</v>
      </c>
      <c r="C1286" t="s">
        <v>280</v>
      </c>
      <c r="D1286" t="s">
        <v>6</v>
      </c>
    </row>
    <row r="1287" spans="1:4" x14ac:dyDescent="0.25">
      <c r="A1287" t="str">
        <f>"30346"</f>
        <v>30346</v>
      </c>
      <c r="B1287" t="s">
        <v>1502</v>
      </c>
      <c r="C1287" t="s">
        <v>280</v>
      </c>
      <c r="D1287" t="s">
        <v>12</v>
      </c>
    </row>
    <row r="1288" spans="1:4" x14ac:dyDescent="0.25">
      <c r="A1288" t="str">
        <f>"30347"</f>
        <v>30347</v>
      </c>
      <c r="B1288" t="s">
        <v>1503</v>
      </c>
      <c r="C1288" t="s">
        <v>280</v>
      </c>
      <c r="D1288" t="s">
        <v>80</v>
      </c>
    </row>
    <row r="1289" spans="1:4" x14ac:dyDescent="0.25">
      <c r="A1289" t="str">
        <f>"30348"</f>
        <v>30348</v>
      </c>
      <c r="B1289" t="s">
        <v>1504</v>
      </c>
      <c r="C1289" t="s">
        <v>280</v>
      </c>
      <c r="D1289" t="s">
        <v>80</v>
      </c>
    </row>
    <row r="1290" spans="1:4" x14ac:dyDescent="0.25">
      <c r="A1290" t="str">
        <f>"30350"</f>
        <v>30350</v>
      </c>
      <c r="B1290" t="s">
        <v>1505</v>
      </c>
      <c r="C1290" t="s">
        <v>280</v>
      </c>
      <c r="D1290" t="s">
        <v>75</v>
      </c>
    </row>
    <row r="1291" spans="1:4" x14ac:dyDescent="0.25">
      <c r="A1291" t="str">
        <f>"30351"</f>
        <v>30351</v>
      </c>
      <c r="B1291" t="s">
        <v>1506</v>
      </c>
      <c r="C1291" t="s">
        <v>1460</v>
      </c>
      <c r="D1291" t="s">
        <v>80</v>
      </c>
    </row>
    <row r="1292" spans="1:4" x14ac:dyDescent="0.25">
      <c r="A1292" t="str">
        <f>"30362"</f>
        <v>30362</v>
      </c>
      <c r="B1292" t="s">
        <v>1507</v>
      </c>
      <c r="C1292" t="s">
        <v>280</v>
      </c>
      <c r="D1292" t="s">
        <v>75</v>
      </c>
    </row>
    <row r="1293" spans="1:4" x14ac:dyDescent="0.25">
      <c r="A1293" t="str">
        <f>"30364"</f>
        <v>30364</v>
      </c>
      <c r="B1293" t="s">
        <v>1508</v>
      </c>
      <c r="C1293" t="s">
        <v>659</v>
      </c>
      <c r="D1293" t="s">
        <v>19</v>
      </c>
    </row>
    <row r="1294" spans="1:4" x14ac:dyDescent="0.25">
      <c r="A1294" t="str">
        <f>"30365"</f>
        <v>30365</v>
      </c>
      <c r="B1294" t="s">
        <v>1509</v>
      </c>
      <c r="C1294" t="s">
        <v>280</v>
      </c>
      <c r="D1294" t="s">
        <v>379</v>
      </c>
    </row>
    <row r="1295" spans="1:4" x14ac:dyDescent="0.25">
      <c r="A1295" t="str">
        <f>"30376"</f>
        <v>30376</v>
      </c>
      <c r="B1295" t="s">
        <v>1510</v>
      </c>
      <c r="C1295" t="s">
        <v>659</v>
      </c>
      <c r="D1295" t="s">
        <v>19</v>
      </c>
    </row>
    <row r="1296" spans="1:4" x14ac:dyDescent="0.25">
      <c r="A1296" t="str">
        <f>"30377"</f>
        <v>30377</v>
      </c>
      <c r="B1296" t="s">
        <v>1511</v>
      </c>
      <c r="C1296" t="s">
        <v>853</v>
      </c>
      <c r="D1296" t="s">
        <v>91</v>
      </c>
    </row>
    <row r="1297" spans="1:4" x14ac:dyDescent="0.25">
      <c r="A1297" t="str">
        <f>"30378"</f>
        <v>30378</v>
      </c>
      <c r="B1297" t="s">
        <v>1512</v>
      </c>
      <c r="C1297" t="s">
        <v>280</v>
      </c>
      <c r="D1297" t="s">
        <v>85</v>
      </c>
    </row>
    <row r="1298" spans="1:4" x14ac:dyDescent="0.25">
      <c r="A1298" t="str">
        <f>"30380"</f>
        <v>30380</v>
      </c>
      <c r="B1298" t="s">
        <v>1513</v>
      </c>
      <c r="C1298" t="s">
        <v>280</v>
      </c>
      <c r="D1298" t="s">
        <v>122</v>
      </c>
    </row>
    <row r="1299" spans="1:4" x14ac:dyDescent="0.25">
      <c r="A1299" t="str">
        <f>"30382"</f>
        <v>30382</v>
      </c>
      <c r="B1299" t="s">
        <v>1514</v>
      </c>
      <c r="C1299" t="s">
        <v>280</v>
      </c>
      <c r="D1299" t="s">
        <v>75</v>
      </c>
    </row>
    <row r="1300" spans="1:4" x14ac:dyDescent="0.25">
      <c r="A1300" t="str">
        <f>"30383"</f>
        <v>30383</v>
      </c>
      <c r="B1300" t="s">
        <v>1515</v>
      </c>
      <c r="C1300" t="s">
        <v>280</v>
      </c>
      <c r="D1300" t="s">
        <v>122</v>
      </c>
    </row>
    <row r="1301" spans="1:4" x14ac:dyDescent="0.25">
      <c r="A1301" t="str">
        <f>"30384"</f>
        <v>30384</v>
      </c>
      <c r="B1301" t="s">
        <v>1516</v>
      </c>
      <c r="C1301" t="s">
        <v>280</v>
      </c>
      <c r="D1301" t="s">
        <v>75</v>
      </c>
    </row>
    <row r="1302" spans="1:4" x14ac:dyDescent="0.25">
      <c r="A1302" t="str">
        <f>"30386"</f>
        <v>30386</v>
      </c>
      <c r="B1302" t="s">
        <v>1517</v>
      </c>
      <c r="C1302" t="s">
        <v>280</v>
      </c>
      <c r="D1302" t="s">
        <v>75</v>
      </c>
    </row>
    <row r="1303" spans="1:4" x14ac:dyDescent="0.25">
      <c r="A1303" t="str">
        <f>"30387"</f>
        <v>30387</v>
      </c>
      <c r="B1303" t="s">
        <v>1518</v>
      </c>
      <c r="C1303" t="s">
        <v>659</v>
      </c>
      <c r="D1303" t="s">
        <v>125</v>
      </c>
    </row>
    <row r="1304" spans="1:4" x14ac:dyDescent="0.25">
      <c r="A1304" t="str">
        <f>"30388"</f>
        <v>30388</v>
      </c>
      <c r="B1304" t="s">
        <v>1519</v>
      </c>
      <c r="C1304" t="s">
        <v>280</v>
      </c>
      <c r="D1304" t="s">
        <v>40</v>
      </c>
    </row>
    <row r="1305" spans="1:4" x14ac:dyDescent="0.25">
      <c r="A1305" t="str">
        <f>"30389"</f>
        <v>30389</v>
      </c>
      <c r="B1305" t="s">
        <v>1520</v>
      </c>
      <c r="C1305" t="s">
        <v>280</v>
      </c>
      <c r="D1305" t="s">
        <v>40</v>
      </c>
    </row>
    <row r="1306" spans="1:4" x14ac:dyDescent="0.25">
      <c r="A1306" t="str">
        <f>"30390"</f>
        <v>30390</v>
      </c>
      <c r="B1306" t="s">
        <v>1521</v>
      </c>
      <c r="C1306" t="s">
        <v>280</v>
      </c>
      <c r="D1306" t="s">
        <v>122</v>
      </c>
    </row>
    <row r="1307" spans="1:4" x14ac:dyDescent="0.25">
      <c r="A1307" t="str">
        <f>"30391"</f>
        <v>30391</v>
      </c>
      <c r="B1307" t="s">
        <v>1522</v>
      </c>
      <c r="C1307" t="s">
        <v>280</v>
      </c>
      <c r="D1307" t="s">
        <v>65</v>
      </c>
    </row>
    <row r="1308" spans="1:4" x14ac:dyDescent="0.25">
      <c r="A1308" t="str">
        <f>"30392"</f>
        <v>30392</v>
      </c>
      <c r="B1308" t="s">
        <v>1523</v>
      </c>
      <c r="C1308" t="s">
        <v>280</v>
      </c>
      <c r="D1308" t="s">
        <v>65</v>
      </c>
    </row>
    <row r="1309" spans="1:4" x14ac:dyDescent="0.25">
      <c r="A1309" t="str">
        <f>"30393"</f>
        <v>30393</v>
      </c>
      <c r="B1309" t="s">
        <v>1524</v>
      </c>
      <c r="C1309" t="s">
        <v>280</v>
      </c>
      <c r="D1309" t="s">
        <v>40</v>
      </c>
    </row>
    <row r="1310" spans="1:4" x14ac:dyDescent="0.25">
      <c r="A1310" t="str">
        <f>"30394"</f>
        <v>30394</v>
      </c>
      <c r="B1310" t="s">
        <v>1525</v>
      </c>
      <c r="C1310" t="s">
        <v>280</v>
      </c>
      <c r="D1310" t="s">
        <v>122</v>
      </c>
    </row>
    <row r="1311" spans="1:4" x14ac:dyDescent="0.25">
      <c r="A1311" t="str">
        <f>"30395"</f>
        <v>30395</v>
      </c>
      <c r="B1311" t="s">
        <v>1526</v>
      </c>
      <c r="C1311" t="s">
        <v>280</v>
      </c>
      <c r="D1311" t="s">
        <v>133</v>
      </c>
    </row>
    <row r="1312" spans="1:4" x14ac:dyDescent="0.25">
      <c r="A1312" t="str">
        <f>"30397"</f>
        <v>30397</v>
      </c>
      <c r="B1312" t="s">
        <v>1527</v>
      </c>
      <c r="C1312" t="s">
        <v>659</v>
      </c>
      <c r="D1312" t="s">
        <v>19</v>
      </c>
    </row>
    <row r="1313" spans="1:4" x14ac:dyDescent="0.25">
      <c r="A1313" t="str">
        <f>"30398"</f>
        <v>30398</v>
      </c>
      <c r="B1313" t="s">
        <v>1528</v>
      </c>
      <c r="C1313" t="s">
        <v>280</v>
      </c>
      <c r="D1313" t="s">
        <v>122</v>
      </c>
    </row>
    <row r="1314" spans="1:4" x14ac:dyDescent="0.25">
      <c r="A1314" t="str">
        <f>"30400"</f>
        <v>30400</v>
      </c>
      <c r="B1314" t="s">
        <v>1529</v>
      </c>
      <c r="C1314" t="s">
        <v>280</v>
      </c>
      <c r="D1314" t="s">
        <v>73</v>
      </c>
    </row>
    <row r="1315" spans="1:4" x14ac:dyDescent="0.25">
      <c r="A1315" t="str">
        <f>"30401"</f>
        <v>30401</v>
      </c>
      <c r="B1315" t="s">
        <v>1530</v>
      </c>
      <c r="C1315" t="s">
        <v>659</v>
      </c>
      <c r="D1315" t="s">
        <v>19</v>
      </c>
    </row>
    <row r="1316" spans="1:4" x14ac:dyDescent="0.25">
      <c r="A1316" t="str">
        <f>"30402"</f>
        <v>30402</v>
      </c>
      <c r="B1316" t="s">
        <v>1531</v>
      </c>
      <c r="C1316" t="s">
        <v>280</v>
      </c>
      <c r="D1316" t="s">
        <v>133</v>
      </c>
    </row>
    <row r="1317" spans="1:4" x14ac:dyDescent="0.25">
      <c r="A1317" t="str">
        <f>"30403"</f>
        <v>30403</v>
      </c>
      <c r="B1317" t="s">
        <v>1532</v>
      </c>
      <c r="C1317" t="s">
        <v>280</v>
      </c>
      <c r="D1317" t="s">
        <v>40</v>
      </c>
    </row>
    <row r="1318" spans="1:4" x14ac:dyDescent="0.25">
      <c r="A1318" t="str">
        <f>"30410"</f>
        <v>30410</v>
      </c>
      <c r="B1318" t="s">
        <v>1533</v>
      </c>
      <c r="C1318" t="s">
        <v>280</v>
      </c>
      <c r="D1318" t="s">
        <v>149</v>
      </c>
    </row>
    <row r="1319" spans="1:4" x14ac:dyDescent="0.25">
      <c r="A1319" t="str">
        <f>"30414"</f>
        <v>30414</v>
      </c>
      <c r="B1319" t="s">
        <v>1534</v>
      </c>
      <c r="C1319" t="s">
        <v>280</v>
      </c>
      <c r="D1319" t="s">
        <v>133</v>
      </c>
    </row>
    <row r="1320" spans="1:4" x14ac:dyDescent="0.25">
      <c r="A1320" t="str">
        <f>"30419"</f>
        <v>30419</v>
      </c>
      <c r="B1320" t="s">
        <v>1535</v>
      </c>
      <c r="C1320" t="s">
        <v>280</v>
      </c>
      <c r="D1320" t="s">
        <v>122</v>
      </c>
    </row>
    <row r="1321" spans="1:4" x14ac:dyDescent="0.25">
      <c r="A1321" t="str">
        <f>"30420"</f>
        <v>30420</v>
      </c>
      <c r="B1321" t="s">
        <v>1536</v>
      </c>
      <c r="C1321" t="s">
        <v>659</v>
      </c>
      <c r="D1321" t="s">
        <v>65</v>
      </c>
    </row>
    <row r="1322" spans="1:4" x14ac:dyDescent="0.25">
      <c r="A1322" t="str">
        <f>"30433"</f>
        <v>30433</v>
      </c>
      <c r="B1322" t="s">
        <v>1537</v>
      </c>
      <c r="C1322" t="s">
        <v>280</v>
      </c>
      <c r="D1322" t="s">
        <v>122</v>
      </c>
    </row>
    <row r="1323" spans="1:4" x14ac:dyDescent="0.25">
      <c r="A1323" t="str">
        <f>"30434"</f>
        <v>30434</v>
      </c>
      <c r="B1323" t="s">
        <v>1538</v>
      </c>
      <c r="C1323" t="s">
        <v>280</v>
      </c>
      <c r="D1323" t="s">
        <v>122</v>
      </c>
    </row>
    <row r="1324" spans="1:4" x14ac:dyDescent="0.25">
      <c r="A1324" t="str">
        <f>"30435"</f>
        <v>30435</v>
      </c>
      <c r="B1324" t="s">
        <v>1539</v>
      </c>
      <c r="C1324" t="s">
        <v>280</v>
      </c>
      <c r="D1324" t="s">
        <v>75</v>
      </c>
    </row>
    <row r="1325" spans="1:4" x14ac:dyDescent="0.25">
      <c r="A1325" t="str">
        <f>"30436"</f>
        <v>30436</v>
      </c>
      <c r="B1325" t="s">
        <v>1540</v>
      </c>
      <c r="C1325" t="s">
        <v>280</v>
      </c>
      <c r="D1325" t="s">
        <v>85</v>
      </c>
    </row>
    <row r="1326" spans="1:4" x14ac:dyDescent="0.25">
      <c r="A1326" t="str">
        <f>"30438"</f>
        <v>30438</v>
      </c>
      <c r="B1326" t="s">
        <v>1541</v>
      </c>
      <c r="C1326" t="s">
        <v>659</v>
      </c>
      <c r="D1326" t="s">
        <v>125</v>
      </c>
    </row>
    <row r="1327" spans="1:4" x14ac:dyDescent="0.25">
      <c r="A1327" t="str">
        <f>"30439"</f>
        <v>30439</v>
      </c>
      <c r="B1327" t="s">
        <v>1542</v>
      </c>
      <c r="C1327" t="s">
        <v>659</v>
      </c>
      <c r="D1327" t="s">
        <v>125</v>
      </c>
    </row>
    <row r="1328" spans="1:4" x14ac:dyDescent="0.25">
      <c r="A1328" t="str">
        <f>"30440"</f>
        <v>30440</v>
      </c>
      <c r="B1328" t="s">
        <v>1543</v>
      </c>
      <c r="C1328" t="s">
        <v>280</v>
      </c>
      <c r="D1328" t="s">
        <v>122</v>
      </c>
    </row>
    <row r="1329" spans="1:4" x14ac:dyDescent="0.25">
      <c r="A1329" t="str">
        <f>"30479"</f>
        <v>30479</v>
      </c>
      <c r="B1329" t="s">
        <v>1544</v>
      </c>
      <c r="C1329" t="s">
        <v>1545</v>
      </c>
      <c r="D1329" t="s">
        <v>42</v>
      </c>
    </row>
    <row r="1330" spans="1:4" x14ac:dyDescent="0.25">
      <c r="A1330" t="str">
        <f>"30480"</f>
        <v>30480</v>
      </c>
      <c r="B1330" t="s">
        <v>1546</v>
      </c>
      <c r="C1330" t="s">
        <v>1547</v>
      </c>
      <c r="D1330" t="s">
        <v>133</v>
      </c>
    </row>
    <row r="1331" spans="1:4" x14ac:dyDescent="0.25">
      <c r="A1331" t="str">
        <f>"30484"</f>
        <v>30484</v>
      </c>
      <c r="B1331" t="s">
        <v>1548</v>
      </c>
      <c r="C1331" t="s">
        <v>1313</v>
      </c>
      <c r="D1331" t="s">
        <v>122</v>
      </c>
    </row>
    <row r="1332" spans="1:4" x14ac:dyDescent="0.25">
      <c r="A1332" t="str">
        <f>"30495"</f>
        <v>30495</v>
      </c>
      <c r="B1332" t="s">
        <v>1549</v>
      </c>
      <c r="C1332" t="s">
        <v>1547</v>
      </c>
      <c r="D1332" t="s">
        <v>12</v>
      </c>
    </row>
    <row r="1333" spans="1:4" x14ac:dyDescent="0.25">
      <c r="A1333" t="str">
        <f>"30496"</f>
        <v>30496</v>
      </c>
      <c r="B1333" t="s">
        <v>1550</v>
      </c>
      <c r="C1333" t="s">
        <v>1551</v>
      </c>
      <c r="D1333" t="s">
        <v>19</v>
      </c>
    </row>
    <row r="1334" spans="1:4" x14ac:dyDescent="0.25">
      <c r="A1334" t="str">
        <f>"30497"</f>
        <v>30497</v>
      </c>
      <c r="B1334" t="s">
        <v>1552</v>
      </c>
      <c r="C1334" t="s">
        <v>280</v>
      </c>
      <c r="D1334" t="s">
        <v>122</v>
      </c>
    </row>
    <row r="1335" spans="1:4" x14ac:dyDescent="0.25">
      <c r="A1335" t="str">
        <f>"30498"</f>
        <v>30498</v>
      </c>
      <c r="B1335" t="s">
        <v>1553</v>
      </c>
      <c r="C1335" t="s">
        <v>280</v>
      </c>
      <c r="D1335" t="s">
        <v>133</v>
      </c>
    </row>
    <row r="1336" spans="1:4" x14ac:dyDescent="0.25">
      <c r="A1336" t="str">
        <f>"30499"</f>
        <v>30499</v>
      </c>
      <c r="B1336" t="s">
        <v>1554</v>
      </c>
      <c r="C1336" t="s">
        <v>659</v>
      </c>
      <c r="D1336" t="s">
        <v>99</v>
      </c>
    </row>
    <row r="1337" spans="1:4" x14ac:dyDescent="0.25">
      <c r="A1337" t="str">
        <f>"30500"</f>
        <v>30500</v>
      </c>
      <c r="B1337" t="s">
        <v>1555</v>
      </c>
      <c r="C1337" t="s">
        <v>1551</v>
      </c>
      <c r="D1337" t="s">
        <v>19</v>
      </c>
    </row>
    <row r="1338" spans="1:4" x14ac:dyDescent="0.25">
      <c r="A1338" t="str">
        <f>"30520"</f>
        <v>30520</v>
      </c>
      <c r="B1338" t="s">
        <v>1556</v>
      </c>
      <c r="C1338" t="s">
        <v>280</v>
      </c>
      <c r="D1338" t="s">
        <v>122</v>
      </c>
    </row>
    <row r="1339" spans="1:4" x14ac:dyDescent="0.25">
      <c r="A1339" t="str">
        <f>"30521"</f>
        <v>30521</v>
      </c>
      <c r="B1339" t="s">
        <v>1557</v>
      </c>
      <c r="C1339" t="s">
        <v>280</v>
      </c>
      <c r="D1339" t="s">
        <v>122</v>
      </c>
    </row>
    <row r="1340" spans="1:4" x14ac:dyDescent="0.25">
      <c r="A1340" t="str">
        <f>"30522"</f>
        <v>30522</v>
      </c>
      <c r="B1340" t="s">
        <v>1558</v>
      </c>
      <c r="C1340" t="s">
        <v>659</v>
      </c>
      <c r="D1340" t="s">
        <v>99</v>
      </c>
    </row>
    <row r="1341" spans="1:4" x14ac:dyDescent="0.25">
      <c r="A1341" t="str">
        <f>"30523"</f>
        <v>30523</v>
      </c>
      <c r="B1341" t="s">
        <v>1559</v>
      </c>
      <c r="C1341" t="s">
        <v>280</v>
      </c>
      <c r="D1341" t="s">
        <v>67</v>
      </c>
    </row>
    <row r="1342" spans="1:4" x14ac:dyDescent="0.25">
      <c r="A1342" t="str">
        <f>"30524"</f>
        <v>30524</v>
      </c>
      <c r="B1342" t="s">
        <v>1560</v>
      </c>
      <c r="C1342" t="s">
        <v>1551</v>
      </c>
      <c r="D1342" t="s">
        <v>19</v>
      </c>
    </row>
    <row r="1343" spans="1:4" x14ac:dyDescent="0.25">
      <c r="A1343" t="str">
        <f>"30525"</f>
        <v>30525</v>
      </c>
      <c r="B1343" t="s">
        <v>1561</v>
      </c>
      <c r="C1343" t="s">
        <v>659</v>
      </c>
      <c r="D1343" t="s">
        <v>99</v>
      </c>
    </row>
    <row r="1344" spans="1:4" x14ac:dyDescent="0.25">
      <c r="A1344" t="str">
        <f>"30526"</f>
        <v>30526</v>
      </c>
      <c r="B1344" t="s">
        <v>1562</v>
      </c>
      <c r="C1344" t="s">
        <v>171</v>
      </c>
      <c r="D1344" t="s">
        <v>73</v>
      </c>
    </row>
    <row r="1345" spans="1:4" x14ac:dyDescent="0.25">
      <c r="A1345" t="str">
        <f>"30527"</f>
        <v>30527</v>
      </c>
      <c r="B1345" t="s">
        <v>1563</v>
      </c>
      <c r="C1345" t="s">
        <v>1547</v>
      </c>
      <c r="D1345" t="s">
        <v>133</v>
      </c>
    </row>
    <row r="1346" spans="1:4" x14ac:dyDescent="0.25">
      <c r="A1346" t="str">
        <f>"30555"</f>
        <v>30555</v>
      </c>
      <c r="B1346" t="s">
        <v>1564</v>
      </c>
      <c r="C1346" t="s">
        <v>659</v>
      </c>
      <c r="D1346" t="s">
        <v>133</v>
      </c>
    </row>
    <row r="1347" spans="1:4" x14ac:dyDescent="0.25">
      <c r="A1347" t="str">
        <f>"30557"</f>
        <v>30557</v>
      </c>
      <c r="B1347" t="s">
        <v>1565</v>
      </c>
      <c r="C1347" t="s">
        <v>1313</v>
      </c>
      <c r="D1347" t="s">
        <v>122</v>
      </c>
    </row>
    <row r="1348" spans="1:4" x14ac:dyDescent="0.25">
      <c r="A1348" t="str">
        <f>"30558"</f>
        <v>30558</v>
      </c>
      <c r="B1348" t="s">
        <v>1566</v>
      </c>
      <c r="C1348" t="s">
        <v>1547</v>
      </c>
      <c r="D1348" t="s">
        <v>99</v>
      </c>
    </row>
    <row r="1349" spans="1:4" x14ac:dyDescent="0.25">
      <c r="A1349" t="str">
        <f>"30559"</f>
        <v>30559</v>
      </c>
      <c r="B1349" t="s">
        <v>1567</v>
      </c>
      <c r="C1349" t="s">
        <v>1547</v>
      </c>
      <c r="D1349" t="s">
        <v>40</v>
      </c>
    </row>
    <row r="1350" spans="1:4" x14ac:dyDescent="0.25">
      <c r="A1350" t="str">
        <f>"30562"</f>
        <v>30562</v>
      </c>
      <c r="B1350" t="s">
        <v>1568</v>
      </c>
      <c r="C1350" t="s">
        <v>659</v>
      </c>
      <c r="D1350" t="s">
        <v>19</v>
      </c>
    </row>
    <row r="1351" spans="1:4" x14ac:dyDescent="0.25">
      <c r="A1351" t="str">
        <f>"30563"</f>
        <v>30563</v>
      </c>
      <c r="B1351" t="s">
        <v>1569</v>
      </c>
      <c r="C1351" t="s">
        <v>659</v>
      </c>
      <c r="D1351" t="s">
        <v>19</v>
      </c>
    </row>
    <row r="1352" spans="1:4" x14ac:dyDescent="0.25">
      <c r="A1352" t="str">
        <f>"30564"</f>
        <v>30564</v>
      </c>
      <c r="B1352" t="s">
        <v>1570</v>
      </c>
      <c r="C1352" t="s">
        <v>171</v>
      </c>
      <c r="D1352" t="s">
        <v>73</v>
      </c>
    </row>
    <row r="1353" spans="1:4" x14ac:dyDescent="0.25">
      <c r="A1353" t="str">
        <f>"30565"</f>
        <v>30565</v>
      </c>
      <c r="B1353" t="s">
        <v>1571</v>
      </c>
      <c r="C1353" t="s">
        <v>1547</v>
      </c>
      <c r="D1353" t="s">
        <v>75</v>
      </c>
    </row>
    <row r="1354" spans="1:4" x14ac:dyDescent="0.25">
      <c r="A1354" t="str">
        <f>"30566"</f>
        <v>30566</v>
      </c>
      <c r="B1354" t="s">
        <v>1572</v>
      </c>
      <c r="C1354" t="s">
        <v>1547</v>
      </c>
      <c r="D1354" t="s">
        <v>122</v>
      </c>
    </row>
    <row r="1355" spans="1:4" x14ac:dyDescent="0.25">
      <c r="A1355" t="str">
        <f>"30571"</f>
        <v>30571</v>
      </c>
      <c r="B1355" t="s">
        <v>1573</v>
      </c>
      <c r="C1355" t="s">
        <v>1547</v>
      </c>
      <c r="D1355" t="s">
        <v>75</v>
      </c>
    </row>
    <row r="1356" spans="1:4" x14ac:dyDescent="0.25">
      <c r="A1356" t="str">
        <f>"30573"</f>
        <v>30573</v>
      </c>
      <c r="B1356" t="s">
        <v>1574</v>
      </c>
      <c r="C1356" t="s">
        <v>1547</v>
      </c>
      <c r="D1356" t="s">
        <v>6</v>
      </c>
    </row>
    <row r="1357" spans="1:4" x14ac:dyDescent="0.25">
      <c r="A1357" t="str">
        <f>"30577"</f>
        <v>30577</v>
      </c>
      <c r="B1357" t="s">
        <v>1575</v>
      </c>
      <c r="C1357" t="s">
        <v>1547</v>
      </c>
      <c r="D1357" t="s">
        <v>122</v>
      </c>
    </row>
    <row r="1358" spans="1:4" x14ac:dyDescent="0.25">
      <c r="A1358" t="str">
        <f>"30579"</f>
        <v>30579</v>
      </c>
      <c r="B1358" t="s">
        <v>1576</v>
      </c>
      <c r="C1358" t="s">
        <v>659</v>
      </c>
      <c r="D1358" t="s">
        <v>120</v>
      </c>
    </row>
    <row r="1359" spans="1:4" x14ac:dyDescent="0.25">
      <c r="A1359" t="str">
        <f>"30580"</f>
        <v>30580</v>
      </c>
      <c r="B1359" t="s">
        <v>1577</v>
      </c>
      <c r="C1359" t="s">
        <v>1547</v>
      </c>
      <c r="D1359" t="s">
        <v>19</v>
      </c>
    </row>
    <row r="1360" spans="1:4" x14ac:dyDescent="0.25">
      <c r="A1360" t="str">
        <f>"30581"</f>
        <v>30581</v>
      </c>
      <c r="B1360" t="s">
        <v>1578</v>
      </c>
      <c r="C1360" t="s">
        <v>659</v>
      </c>
      <c r="D1360" t="s">
        <v>120</v>
      </c>
    </row>
    <row r="1361" spans="1:4" x14ac:dyDescent="0.25">
      <c r="A1361" t="str">
        <f>"30582"</f>
        <v>30582</v>
      </c>
      <c r="B1361" t="s">
        <v>1579</v>
      </c>
      <c r="C1361" t="s">
        <v>1547</v>
      </c>
      <c r="D1361" t="s">
        <v>75</v>
      </c>
    </row>
    <row r="1362" spans="1:4" x14ac:dyDescent="0.25">
      <c r="A1362" t="str">
        <f>"30583"</f>
        <v>30583</v>
      </c>
      <c r="B1362" t="s">
        <v>1580</v>
      </c>
      <c r="C1362" t="s">
        <v>1547</v>
      </c>
      <c r="D1362" t="s">
        <v>122</v>
      </c>
    </row>
    <row r="1363" spans="1:4" x14ac:dyDescent="0.25">
      <c r="A1363" t="str">
        <f>"30584"</f>
        <v>30584</v>
      </c>
      <c r="B1363" t="s">
        <v>1581</v>
      </c>
      <c r="C1363" t="s">
        <v>1547</v>
      </c>
      <c r="D1363" t="s">
        <v>85</v>
      </c>
    </row>
    <row r="1364" spans="1:4" x14ac:dyDescent="0.25">
      <c r="A1364" t="str">
        <f>"30585"</f>
        <v>30585</v>
      </c>
      <c r="B1364" t="s">
        <v>1582</v>
      </c>
      <c r="C1364" t="s">
        <v>1547</v>
      </c>
      <c r="D1364" t="s">
        <v>85</v>
      </c>
    </row>
    <row r="1365" spans="1:4" x14ac:dyDescent="0.25">
      <c r="A1365" t="str">
        <f>"30586"</f>
        <v>30586</v>
      </c>
      <c r="B1365" t="s">
        <v>1583</v>
      </c>
      <c r="C1365" t="s">
        <v>1547</v>
      </c>
      <c r="D1365" t="s">
        <v>122</v>
      </c>
    </row>
    <row r="1366" spans="1:4" x14ac:dyDescent="0.25">
      <c r="A1366" t="str">
        <f>"30588"</f>
        <v>30588</v>
      </c>
      <c r="B1366" t="s">
        <v>1584</v>
      </c>
      <c r="C1366" t="s">
        <v>1547</v>
      </c>
      <c r="D1366" t="s">
        <v>122</v>
      </c>
    </row>
    <row r="1367" spans="1:4" x14ac:dyDescent="0.25">
      <c r="A1367" t="str">
        <f>"30589"</f>
        <v>30589</v>
      </c>
      <c r="B1367" t="s">
        <v>1585</v>
      </c>
      <c r="C1367" t="s">
        <v>1547</v>
      </c>
      <c r="D1367" t="s">
        <v>40</v>
      </c>
    </row>
    <row r="1368" spans="1:4" x14ac:dyDescent="0.25">
      <c r="A1368" t="str">
        <f>"30591"</f>
        <v>30591</v>
      </c>
      <c r="B1368" t="s">
        <v>1586</v>
      </c>
      <c r="C1368" t="s">
        <v>1587</v>
      </c>
      <c r="D1368" t="s">
        <v>362</v>
      </c>
    </row>
    <row r="1369" spans="1:4" x14ac:dyDescent="0.25">
      <c r="A1369" t="str">
        <f>"30593"</f>
        <v>30593</v>
      </c>
      <c r="B1369" t="s">
        <v>1588</v>
      </c>
      <c r="C1369" t="s">
        <v>659</v>
      </c>
      <c r="D1369" t="s">
        <v>19</v>
      </c>
    </row>
    <row r="1370" spans="1:4" x14ac:dyDescent="0.25">
      <c r="A1370" t="str">
        <f>"30594"</f>
        <v>30594</v>
      </c>
      <c r="B1370" t="s">
        <v>1589</v>
      </c>
      <c r="C1370" t="s">
        <v>1547</v>
      </c>
      <c r="D1370" t="s">
        <v>99</v>
      </c>
    </row>
    <row r="1371" spans="1:4" x14ac:dyDescent="0.25">
      <c r="A1371" t="str">
        <f>"306"</f>
        <v>306</v>
      </c>
      <c r="B1371" t="s">
        <v>1590</v>
      </c>
      <c r="C1371" t="s">
        <v>84</v>
      </c>
      <c r="D1371" t="s">
        <v>125</v>
      </c>
    </row>
    <row r="1372" spans="1:4" x14ac:dyDescent="0.25">
      <c r="A1372" t="str">
        <f>"30622"</f>
        <v>30622</v>
      </c>
      <c r="B1372" t="s">
        <v>1591</v>
      </c>
      <c r="C1372" t="s">
        <v>1547</v>
      </c>
      <c r="D1372" t="s">
        <v>287</v>
      </c>
    </row>
    <row r="1373" spans="1:4" x14ac:dyDescent="0.25">
      <c r="A1373" t="str">
        <f>"30631"</f>
        <v>30631</v>
      </c>
      <c r="B1373" t="s">
        <v>1592</v>
      </c>
      <c r="C1373" t="s">
        <v>1547</v>
      </c>
      <c r="D1373" t="s">
        <v>120</v>
      </c>
    </row>
    <row r="1374" spans="1:4" x14ac:dyDescent="0.25">
      <c r="A1374" t="str">
        <f>"30632"</f>
        <v>30632</v>
      </c>
      <c r="B1374" t="s">
        <v>1593</v>
      </c>
      <c r="C1374" t="s">
        <v>57</v>
      </c>
      <c r="D1374" t="s">
        <v>58</v>
      </c>
    </row>
    <row r="1375" spans="1:4" x14ac:dyDescent="0.25">
      <c r="A1375" t="str">
        <f>"30634"</f>
        <v>30634</v>
      </c>
      <c r="B1375" t="s">
        <v>1594</v>
      </c>
      <c r="C1375" t="s">
        <v>1547</v>
      </c>
      <c r="D1375" t="s">
        <v>122</v>
      </c>
    </row>
    <row r="1376" spans="1:4" x14ac:dyDescent="0.25">
      <c r="A1376" t="str">
        <f>"30635"</f>
        <v>30635</v>
      </c>
      <c r="B1376" t="s">
        <v>1595</v>
      </c>
      <c r="C1376" t="s">
        <v>1547</v>
      </c>
      <c r="D1376" t="s">
        <v>99</v>
      </c>
    </row>
    <row r="1377" spans="1:4" x14ac:dyDescent="0.25">
      <c r="A1377" t="str">
        <f>"30636"</f>
        <v>30636</v>
      </c>
      <c r="B1377" t="s">
        <v>1596</v>
      </c>
      <c r="C1377" t="s">
        <v>1547</v>
      </c>
      <c r="D1377" t="s">
        <v>122</v>
      </c>
    </row>
    <row r="1378" spans="1:4" x14ac:dyDescent="0.25">
      <c r="A1378" t="str">
        <f>"30638"</f>
        <v>30638</v>
      </c>
      <c r="B1378" t="s">
        <v>1597</v>
      </c>
      <c r="C1378" t="s">
        <v>1295</v>
      </c>
      <c r="D1378" t="s">
        <v>65</v>
      </c>
    </row>
    <row r="1379" spans="1:4" x14ac:dyDescent="0.25">
      <c r="A1379" t="str">
        <f>"30639"</f>
        <v>30639</v>
      </c>
      <c r="B1379" t="s">
        <v>1598</v>
      </c>
      <c r="C1379" t="s">
        <v>1547</v>
      </c>
      <c r="D1379" t="s">
        <v>287</v>
      </c>
    </row>
    <row r="1380" spans="1:4" x14ac:dyDescent="0.25">
      <c r="A1380" t="str">
        <f>"30640"</f>
        <v>30640</v>
      </c>
      <c r="B1380" t="s">
        <v>1599</v>
      </c>
      <c r="C1380" t="s">
        <v>659</v>
      </c>
      <c r="D1380" t="s">
        <v>19</v>
      </c>
    </row>
    <row r="1381" spans="1:4" x14ac:dyDescent="0.25">
      <c r="A1381" t="str">
        <f>"30642"</f>
        <v>30642</v>
      </c>
      <c r="B1381" t="s">
        <v>1600</v>
      </c>
      <c r="C1381" t="s">
        <v>1547</v>
      </c>
      <c r="D1381" t="s">
        <v>125</v>
      </c>
    </row>
    <row r="1382" spans="1:4" x14ac:dyDescent="0.25">
      <c r="A1382" t="str">
        <f>"30644"</f>
        <v>30644</v>
      </c>
      <c r="B1382" t="s">
        <v>1601</v>
      </c>
      <c r="C1382" t="s">
        <v>1547</v>
      </c>
      <c r="D1382" t="s">
        <v>40</v>
      </c>
    </row>
    <row r="1383" spans="1:4" x14ac:dyDescent="0.25">
      <c r="A1383" t="str">
        <f>"30645"</f>
        <v>30645</v>
      </c>
      <c r="B1383" t="s">
        <v>1602</v>
      </c>
      <c r="C1383" t="s">
        <v>1603</v>
      </c>
      <c r="D1383" t="s">
        <v>6</v>
      </c>
    </row>
    <row r="1384" spans="1:4" x14ac:dyDescent="0.25">
      <c r="A1384" t="str">
        <f>"30648"</f>
        <v>30648</v>
      </c>
      <c r="B1384" t="s">
        <v>1604</v>
      </c>
      <c r="C1384" t="s">
        <v>659</v>
      </c>
      <c r="D1384" t="s">
        <v>99</v>
      </c>
    </row>
    <row r="1385" spans="1:4" x14ac:dyDescent="0.25">
      <c r="A1385" t="str">
        <f>"30649"</f>
        <v>30649</v>
      </c>
      <c r="B1385" t="s">
        <v>1605</v>
      </c>
      <c r="C1385" t="s">
        <v>14</v>
      </c>
      <c r="D1385" t="s">
        <v>9</v>
      </c>
    </row>
    <row r="1386" spans="1:4" x14ac:dyDescent="0.25">
      <c r="A1386" t="str">
        <f>"30650"</f>
        <v>30650</v>
      </c>
      <c r="B1386" t="s">
        <v>1606</v>
      </c>
      <c r="C1386" t="s">
        <v>1547</v>
      </c>
      <c r="D1386" t="s">
        <v>12</v>
      </c>
    </row>
    <row r="1387" spans="1:4" x14ac:dyDescent="0.25">
      <c r="A1387" t="str">
        <f>"30651"</f>
        <v>30651</v>
      </c>
      <c r="B1387" t="s">
        <v>1607</v>
      </c>
      <c r="C1387" t="s">
        <v>171</v>
      </c>
      <c r="D1387" t="s">
        <v>176</v>
      </c>
    </row>
    <row r="1388" spans="1:4" x14ac:dyDescent="0.25">
      <c r="A1388" t="str">
        <f>"30652"</f>
        <v>30652</v>
      </c>
      <c r="B1388" t="s">
        <v>1608</v>
      </c>
      <c r="C1388" t="s">
        <v>1547</v>
      </c>
      <c r="D1388" t="s">
        <v>85</v>
      </c>
    </row>
    <row r="1389" spans="1:4" x14ac:dyDescent="0.25">
      <c r="A1389" t="str">
        <f>"30653"</f>
        <v>30653</v>
      </c>
      <c r="B1389" t="s">
        <v>1609</v>
      </c>
      <c r="C1389" t="s">
        <v>659</v>
      </c>
      <c r="D1389" t="s">
        <v>99</v>
      </c>
    </row>
    <row r="1390" spans="1:4" x14ac:dyDescent="0.25">
      <c r="A1390" t="str">
        <f>"30654"</f>
        <v>30654</v>
      </c>
      <c r="B1390" t="s">
        <v>1610</v>
      </c>
      <c r="C1390" t="s">
        <v>1547</v>
      </c>
      <c r="D1390" t="s">
        <v>122</v>
      </c>
    </row>
    <row r="1391" spans="1:4" x14ac:dyDescent="0.25">
      <c r="A1391" t="str">
        <f>"30655"</f>
        <v>30655</v>
      </c>
      <c r="B1391" t="s">
        <v>1611</v>
      </c>
      <c r="C1391" t="s">
        <v>1547</v>
      </c>
      <c r="D1391" t="s">
        <v>122</v>
      </c>
    </row>
    <row r="1392" spans="1:4" x14ac:dyDescent="0.25">
      <c r="A1392" t="str">
        <f>"30656"</f>
        <v>30656</v>
      </c>
      <c r="B1392" t="s">
        <v>1612</v>
      </c>
      <c r="C1392" t="s">
        <v>659</v>
      </c>
      <c r="D1392" t="s">
        <v>99</v>
      </c>
    </row>
    <row r="1393" spans="1:4" x14ac:dyDescent="0.25">
      <c r="A1393" t="str">
        <f>"30657"</f>
        <v>30657</v>
      </c>
      <c r="B1393" t="s">
        <v>1613</v>
      </c>
      <c r="C1393" t="s">
        <v>1547</v>
      </c>
      <c r="D1393" t="s">
        <v>125</v>
      </c>
    </row>
    <row r="1394" spans="1:4" x14ac:dyDescent="0.25">
      <c r="A1394" t="str">
        <f>"30658"</f>
        <v>30658</v>
      </c>
      <c r="B1394" t="s">
        <v>1614</v>
      </c>
      <c r="C1394" t="s">
        <v>659</v>
      </c>
      <c r="D1394" t="s">
        <v>125</v>
      </c>
    </row>
    <row r="1395" spans="1:4" x14ac:dyDescent="0.25">
      <c r="A1395" t="str">
        <f>"30660"</f>
        <v>30660</v>
      </c>
      <c r="B1395" t="s">
        <v>1615</v>
      </c>
      <c r="C1395" t="s">
        <v>1547</v>
      </c>
      <c r="D1395" t="s">
        <v>125</v>
      </c>
    </row>
    <row r="1396" spans="1:4" x14ac:dyDescent="0.25">
      <c r="A1396" t="str">
        <f>"30663"</f>
        <v>30663</v>
      </c>
      <c r="B1396" t="s">
        <v>1616</v>
      </c>
      <c r="C1396" t="s">
        <v>193</v>
      </c>
      <c r="D1396" t="s">
        <v>118</v>
      </c>
    </row>
    <row r="1397" spans="1:4" x14ac:dyDescent="0.25">
      <c r="A1397" t="str">
        <f>"30664"</f>
        <v>30664</v>
      </c>
      <c r="B1397" t="s">
        <v>1617</v>
      </c>
      <c r="C1397" t="s">
        <v>1295</v>
      </c>
      <c r="D1397" t="s">
        <v>149</v>
      </c>
    </row>
    <row r="1398" spans="1:4" x14ac:dyDescent="0.25">
      <c r="A1398" t="str">
        <f>"30666"</f>
        <v>30666</v>
      </c>
      <c r="B1398" t="s">
        <v>1618</v>
      </c>
      <c r="C1398" t="s">
        <v>280</v>
      </c>
      <c r="D1398" t="s">
        <v>176</v>
      </c>
    </row>
    <row r="1399" spans="1:4" x14ac:dyDescent="0.25">
      <c r="A1399" t="str">
        <f>"30667"</f>
        <v>30667</v>
      </c>
      <c r="B1399" t="s">
        <v>1619</v>
      </c>
      <c r="C1399" t="s">
        <v>280</v>
      </c>
      <c r="D1399" t="s">
        <v>176</v>
      </c>
    </row>
    <row r="1400" spans="1:4" x14ac:dyDescent="0.25">
      <c r="A1400" t="str">
        <f>"30669"</f>
        <v>30669</v>
      </c>
      <c r="B1400" t="s">
        <v>1620</v>
      </c>
      <c r="C1400" t="s">
        <v>280</v>
      </c>
      <c r="D1400" t="s">
        <v>176</v>
      </c>
    </row>
    <row r="1401" spans="1:4" x14ac:dyDescent="0.25">
      <c r="A1401" t="str">
        <f>"30670"</f>
        <v>30670</v>
      </c>
      <c r="B1401" t="s">
        <v>1621</v>
      </c>
      <c r="C1401" t="s">
        <v>280</v>
      </c>
      <c r="D1401" t="s">
        <v>176</v>
      </c>
    </row>
    <row r="1402" spans="1:4" x14ac:dyDescent="0.25">
      <c r="A1402" t="str">
        <f>"30671"</f>
        <v>30671</v>
      </c>
      <c r="B1402" t="s">
        <v>1622</v>
      </c>
      <c r="C1402" t="s">
        <v>280</v>
      </c>
      <c r="D1402" t="s">
        <v>176</v>
      </c>
    </row>
    <row r="1403" spans="1:4" x14ac:dyDescent="0.25">
      <c r="A1403" t="str">
        <f>"30675"</f>
        <v>30675</v>
      </c>
      <c r="B1403" t="s">
        <v>1623</v>
      </c>
      <c r="C1403" t="s">
        <v>280</v>
      </c>
      <c r="D1403" t="s">
        <v>73</v>
      </c>
    </row>
    <row r="1404" spans="1:4" x14ac:dyDescent="0.25">
      <c r="A1404" t="str">
        <f>"30677"</f>
        <v>30677</v>
      </c>
      <c r="B1404" t="s">
        <v>1624</v>
      </c>
      <c r="C1404" t="s">
        <v>1428</v>
      </c>
      <c r="D1404" t="s">
        <v>80</v>
      </c>
    </row>
    <row r="1405" spans="1:4" x14ac:dyDescent="0.25">
      <c r="A1405" t="str">
        <f>"30678"</f>
        <v>30678</v>
      </c>
      <c r="B1405" t="s">
        <v>1625</v>
      </c>
      <c r="C1405" t="s">
        <v>280</v>
      </c>
      <c r="D1405" t="s">
        <v>73</v>
      </c>
    </row>
    <row r="1406" spans="1:4" x14ac:dyDescent="0.25">
      <c r="A1406" t="str">
        <f>"30685"</f>
        <v>30685</v>
      </c>
      <c r="B1406" t="s">
        <v>1626</v>
      </c>
      <c r="C1406" t="s">
        <v>280</v>
      </c>
      <c r="D1406" t="s">
        <v>149</v>
      </c>
    </row>
    <row r="1407" spans="1:4" x14ac:dyDescent="0.25">
      <c r="A1407" t="str">
        <f>"30686"</f>
        <v>30686</v>
      </c>
      <c r="B1407" t="s">
        <v>1627</v>
      </c>
      <c r="C1407" t="s">
        <v>1547</v>
      </c>
      <c r="D1407" t="s">
        <v>85</v>
      </c>
    </row>
    <row r="1408" spans="1:4" x14ac:dyDescent="0.25">
      <c r="A1408" t="str">
        <f>"30706"</f>
        <v>30706</v>
      </c>
      <c r="B1408" t="s">
        <v>1628</v>
      </c>
      <c r="C1408" t="s">
        <v>1428</v>
      </c>
      <c r="D1408" t="s">
        <v>122</v>
      </c>
    </row>
    <row r="1409" spans="1:4" x14ac:dyDescent="0.25">
      <c r="A1409" t="str">
        <f>"30715"</f>
        <v>30715</v>
      </c>
      <c r="B1409" t="s">
        <v>1629</v>
      </c>
      <c r="C1409" t="s">
        <v>1040</v>
      </c>
      <c r="D1409" t="s">
        <v>73</v>
      </c>
    </row>
    <row r="1410" spans="1:4" x14ac:dyDescent="0.25">
      <c r="A1410" t="str">
        <f>"30716"</f>
        <v>30716</v>
      </c>
      <c r="B1410" t="s">
        <v>1630</v>
      </c>
      <c r="C1410" t="s">
        <v>280</v>
      </c>
      <c r="D1410" t="s">
        <v>73</v>
      </c>
    </row>
    <row r="1411" spans="1:4" x14ac:dyDescent="0.25">
      <c r="A1411" t="str">
        <f>"30717"</f>
        <v>30717</v>
      </c>
      <c r="B1411" t="s">
        <v>1631</v>
      </c>
      <c r="C1411" t="s">
        <v>280</v>
      </c>
      <c r="D1411" t="s">
        <v>73</v>
      </c>
    </row>
    <row r="1412" spans="1:4" x14ac:dyDescent="0.25">
      <c r="A1412" t="str">
        <f>"30718"</f>
        <v>30718</v>
      </c>
      <c r="B1412" t="s">
        <v>1632</v>
      </c>
      <c r="C1412" t="s">
        <v>280</v>
      </c>
      <c r="D1412" t="s">
        <v>73</v>
      </c>
    </row>
    <row r="1413" spans="1:4" x14ac:dyDescent="0.25">
      <c r="A1413" t="str">
        <f>"30719"</f>
        <v>30719</v>
      </c>
      <c r="B1413" t="s">
        <v>1633</v>
      </c>
      <c r="C1413" t="s">
        <v>280</v>
      </c>
      <c r="D1413" t="s">
        <v>73</v>
      </c>
    </row>
    <row r="1414" spans="1:4" x14ac:dyDescent="0.25">
      <c r="A1414" t="str">
        <f>"30720"</f>
        <v>30720</v>
      </c>
      <c r="B1414" t="s">
        <v>1634</v>
      </c>
      <c r="C1414" t="s">
        <v>280</v>
      </c>
      <c r="D1414" t="s">
        <v>73</v>
      </c>
    </row>
    <row r="1415" spans="1:4" x14ac:dyDescent="0.25">
      <c r="A1415" t="str">
        <f>"30721"</f>
        <v>30721</v>
      </c>
      <c r="B1415" t="s">
        <v>1635</v>
      </c>
      <c r="C1415" t="s">
        <v>280</v>
      </c>
      <c r="D1415" t="s">
        <v>73</v>
      </c>
    </row>
    <row r="1416" spans="1:4" x14ac:dyDescent="0.25">
      <c r="A1416" t="str">
        <f>"30722"</f>
        <v>30722</v>
      </c>
      <c r="B1416" t="s">
        <v>1636</v>
      </c>
      <c r="C1416" t="s">
        <v>280</v>
      </c>
      <c r="D1416" t="s">
        <v>73</v>
      </c>
    </row>
    <row r="1417" spans="1:4" x14ac:dyDescent="0.25">
      <c r="A1417" t="str">
        <f>"30723"</f>
        <v>30723</v>
      </c>
      <c r="B1417" t="s">
        <v>1637</v>
      </c>
      <c r="C1417" t="s">
        <v>280</v>
      </c>
      <c r="D1417" t="s">
        <v>73</v>
      </c>
    </row>
    <row r="1418" spans="1:4" x14ac:dyDescent="0.25">
      <c r="A1418" t="str">
        <f>"30724"</f>
        <v>30724</v>
      </c>
      <c r="B1418" t="s">
        <v>1638</v>
      </c>
      <c r="C1418" t="s">
        <v>280</v>
      </c>
      <c r="D1418" t="s">
        <v>73</v>
      </c>
    </row>
    <row r="1419" spans="1:4" x14ac:dyDescent="0.25">
      <c r="A1419" t="str">
        <f>"30725"</f>
        <v>30725</v>
      </c>
      <c r="B1419" t="s">
        <v>1639</v>
      </c>
      <c r="C1419" t="s">
        <v>280</v>
      </c>
      <c r="D1419" t="s">
        <v>73</v>
      </c>
    </row>
    <row r="1420" spans="1:4" x14ac:dyDescent="0.25">
      <c r="A1420" t="str">
        <f>"30726"</f>
        <v>30726</v>
      </c>
      <c r="B1420" t="s">
        <v>1640</v>
      </c>
      <c r="C1420" t="s">
        <v>280</v>
      </c>
      <c r="D1420" t="s">
        <v>73</v>
      </c>
    </row>
    <row r="1421" spans="1:4" x14ac:dyDescent="0.25">
      <c r="A1421" t="str">
        <f>"30727"</f>
        <v>30727</v>
      </c>
      <c r="B1421" t="s">
        <v>1641</v>
      </c>
      <c r="C1421" t="s">
        <v>280</v>
      </c>
      <c r="D1421" t="s">
        <v>73</v>
      </c>
    </row>
    <row r="1422" spans="1:4" x14ac:dyDescent="0.25">
      <c r="A1422" t="str">
        <f>"30728"</f>
        <v>30728</v>
      </c>
      <c r="B1422" t="s">
        <v>1642</v>
      </c>
      <c r="C1422" t="s">
        <v>280</v>
      </c>
      <c r="D1422" t="s">
        <v>73</v>
      </c>
    </row>
    <row r="1423" spans="1:4" x14ac:dyDescent="0.25">
      <c r="A1423" t="str">
        <f>"30734"</f>
        <v>30734</v>
      </c>
      <c r="B1423" t="s">
        <v>1643</v>
      </c>
      <c r="C1423" t="s">
        <v>659</v>
      </c>
      <c r="D1423" t="s">
        <v>99</v>
      </c>
    </row>
    <row r="1424" spans="1:4" x14ac:dyDescent="0.25">
      <c r="A1424" t="str">
        <f>"30735"</f>
        <v>30735</v>
      </c>
      <c r="B1424" t="s">
        <v>1644</v>
      </c>
      <c r="C1424" t="s">
        <v>659</v>
      </c>
      <c r="D1424" t="s">
        <v>287</v>
      </c>
    </row>
    <row r="1425" spans="1:4" x14ac:dyDescent="0.25">
      <c r="A1425" t="str">
        <f>"30736"</f>
        <v>30736</v>
      </c>
      <c r="B1425" t="s">
        <v>1645</v>
      </c>
      <c r="C1425" t="s">
        <v>659</v>
      </c>
      <c r="D1425" t="s">
        <v>99</v>
      </c>
    </row>
    <row r="1426" spans="1:4" x14ac:dyDescent="0.25">
      <c r="A1426" t="str">
        <f>"30737"</f>
        <v>30737</v>
      </c>
      <c r="B1426" t="s">
        <v>1646</v>
      </c>
      <c r="C1426" t="s">
        <v>659</v>
      </c>
      <c r="D1426" t="s">
        <v>99</v>
      </c>
    </row>
    <row r="1427" spans="1:4" x14ac:dyDescent="0.25">
      <c r="A1427" t="str">
        <f>"30738"</f>
        <v>30738</v>
      </c>
      <c r="B1427" t="s">
        <v>1647</v>
      </c>
      <c r="C1427" t="s">
        <v>1547</v>
      </c>
      <c r="D1427" t="s">
        <v>125</v>
      </c>
    </row>
    <row r="1428" spans="1:4" x14ac:dyDescent="0.25">
      <c r="A1428" t="str">
        <f>"30739"</f>
        <v>30739</v>
      </c>
      <c r="B1428" t="s">
        <v>1648</v>
      </c>
      <c r="C1428" t="s">
        <v>1547</v>
      </c>
      <c r="D1428" t="s">
        <v>12</v>
      </c>
    </row>
    <row r="1429" spans="1:4" x14ac:dyDescent="0.25">
      <c r="A1429" t="str">
        <f>"30740"</f>
        <v>30740</v>
      </c>
      <c r="B1429" t="s">
        <v>1649</v>
      </c>
      <c r="C1429" t="s">
        <v>1547</v>
      </c>
      <c r="D1429" t="s">
        <v>85</v>
      </c>
    </row>
    <row r="1430" spans="1:4" x14ac:dyDescent="0.25">
      <c r="A1430" t="str">
        <f>"30741"</f>
        <v>30741</v>
      </c>
      <c r="B1430" t="s">
        <v>1650</v>
      </c>
      <c r="C1430" t="s">
        <v>659</v>
      </c>
      <c r="D1430" t="s">
        <v>6</v>
      </c>
    </row>
    <row r="1431" spans="1:4" x14ac:dyDescent="0.25">
      <c r="A1431" t="str">
        <f>"30742"</f>
        <v>30742</v>
      </c>
      <c r="B1431" t="s">
        <v>1651</v>
      </c>
      <c r="C1431" t="s">
        <v>659</v>
      </c>
      <c r="D1431" t="s">
        <v>379</v>
      </c>
    </row>
    <row r="1432" spans="1:4" x14ac:dyDescent="0.25">
      <c r="A1432" t="str">
        <f>"30743"</f>
        <v>30743</v>
      </c>
      <c r="B1432" t="s">
        <v>1652</v>
      </c>
      <c r="C1432" t="s">
        <v>1547</v>
      </c>
      <c r="D1432" t="s">
        <v>40</v>
      </c>
    </row>
    <row r="1433" spans="1:4" x14ac:dyDescent="0.25">
      <c r="A1433" t="str">
        <f>"30744"</f>
        <v>30744</v>
      </c>
      <c r="B1433" t="s">
        <v>1653</v>
      </c>
      <c r="C1433" t="s">
        <v>171</v>
      </c>
      <c r="D1433" t="s">
        <v>149</v>
      </c>
    </row>
    <row r="1434" spans="1:4" x14ac:dyDescent="0.25">
      <c r="A1434" t="str">
        <f>"30745"</f>
        <v>30745</v>
      </c>
      <c r="B1434" t="s">
        <v>1654</v>
      </c>
      <c r="C1434" t="s">
        <v>659</v>
      </c>
      <c r="D1434" t="s">
        <v>99</v>
      </c>
    </row>
    <row r="1435" spans="1:4" x14ac:dyDescent="0.25">
      <c r="A1435" t="str">
        <f>"30746"</f>
        <v>30746</v>
      </c>
      <c r="B1435" t="s">
        <v>1655</v>
      </c>
      <c r="C1435" t="s">
        <v>1547</v>
      </c>
      <c r="D1435" t="s">
        <v>122</v>
      </c>
    </row>
    <row r="1436" spans="1:4" x14ac:dyDescent="0.25">
      <c r="A1436" t="str">
        <f>"30747"</f>
        <v>30747</v>
      </c>
      <c r="B1436" t="s">
        <v>1656</v>
      </c>
      <c r="C1436" t="s">
        <v>659</v>
      </c>
      <c r="D1436" t="s">
        <v>125</v>
      </c>
    </row>
    <row r="1437" spans="1:4" x14ac:dyDescent="0.25">
      <c r="A1437" t="str">
        <f>"30748"</f>
        <v>30748</v>
      </c>
      <c r="B1437" t="s">
        <v>1657</v>
      </c>
      <c r="C1437" t="s">
        <v>659</v>
      </c>
      <c r="D1437" t="s">
        <v>122</v>
      </c>
    </row>
    <row r="1438" spans="1:4" x14ac:dyDescent="0.25">
      <c r="A1438" t="str">
        <f>"30749"</f>
        <v>30749</v>
      </c>
      <c r="B1438" t="s">
        <v>1658</v>
      </c>
      <c r="C1438" t="s">
        <v>659</v>
      </c>
      <c r="D1438" t="s">
        <v>379</v>
      </c>
    </row>
    <row r="1439" spans="1:4" x14ac:dyDescent="0.25">
      <c r="A1439" t="str">
        <f>"30750"</f>
        <v>30750</v>
      </c>
      <c r="B1439" t="s">
        <v>1659</v>
      </c>
      <c r="C1439" t="s">
        <v>1547</v>
      </c>
      <c r="D1439" t="s">
        <v>80</v>
      </c>
    </row>
    <row r="1440" spans="1:4" x14ac:dyDescent="0.25">
      <c r="A1440" t="str">
        <f>"30751"</f>
        <v>30751</v>
      </c>
      <c r="B1440" t="s">
        <v>1660</v>
      </c>
      <c r="C1440" t="s">
        <v>659</v>
      </c>
      <c r="D1440" t="s">
        <v>99</v>
      </c>
    </row>
    <row r="1441" spans="1:4" x14ac:dyDescent="0.25">
      <c r="A1441" t="str">
        <f>"30752"</f>
        <v>30752</v>
      </c>
      <c r="B1441" t="s">
        <v>1661</v>
      </c>
      <c r="C1441" t="s">
        <v>659</v>
      </c>
      <c r="D1441" t="s">
        <v>99</v>
      </c>
    </row>
    <row r="1442" spans="1:4" x14ac:dyDescent="0.25">
      <c r="A1442" t="str">
        <f>"30753"</f>
        <v>30753</v>
      </c>
      <c r="B1442" t="s">
        <v>1662</v>
      </c>
      <c r="C1442" t="s">
        <v>1547</v>
      </c>
      <c r="D1442" t="s">
        <v>122</v>
      </c>
    </row>
    <row r="1443" spans="1:4" x14ac:dyDescent="0.25">
      <c r="A1443" t="str">
        <f>"30754"</f>
        <v>30754</v>
      </c>
      <c r="B1443" t="s">
        <v>1663</v>
      </c>
      <c r="C1443" t="s">
        <v>659</v>
      </c>
      <c r="D1443" t="s">
        <v>125</v>
      </c>
    </row>
    <row r="1444" spans="1:4" x14ac:dyDescent="0.25">
      <c r="A1444" t="str">
        <f>"30755"</f>
        <v>30755</v>
      </c>
      <c r="B1444" t="s">
        <v>1664</v>
      </c>
      <c r="C1444" t="s">
        <v>659</v>
      </c>
      <c r="D1444" t="s">
        <v>125</v>
      </c>
    </row>
    <row r="1445" spans="1:4" x14ac:dyDescent="0.25">
      <c r="A1445" t="str">
        <f>"30756"</f>
        <v>30756</v>
      </c>
      <c r="B1445" t="s">
        <v>1665</v>
      </c>
      <c r="C1445" t="s">
        <v>1547</v>
      </c>
      <c r="D1445" t="s">
        <v>122</v>
      </c>
    </row>
    <row r="1446" spans="1:4" x14ac:dyDescent="0.25">
      <c r="A1446" t="str">
        <f>"30757"</f>
        <v>30757</v>
      </c>
      <c r="B1446" t="s">
        <v>1666</v>
      </c>
      <c r="C1446" t="s">
        <v>1547</v>
      </c>
      <c r="D1446" t="s">
        <v>40</v>
      </c>
    </row>
    <row r="1447" spans="1:4" x14ac:dyDescent="0.25">
      <c r="A1447" t="str">
        <f>"30758"</f>
        <v>30758</v>
      </c>
      <c r="B1447" t="s">
        <v>1667</v>
      </c>
      <c r="C1447" t="s">
        <v>11</v>
      </c>
      <c r="D1447" t="s">
        <v>65</v>
      </c>
    </row>
    <row r="1448" spans="1:4" x14ac:dyDescent="0.25">
      <c r="A1448" t="str">
        <f>"30759"</f>
        <v>30759</v>
      </c>
      <c r="B1448" t="s">
        <v>1668</v>
      </c>
      <c r="C1448" t="s">
        <v>1547</v>
      </c>
      <c r="D1448" t="s">
        <v>122</v>
      </c>
    </row>
    <row r="1449" spans="1:4" x14ac:dyDescent="0.25">
      <c r="A1449" t="str">
        <f>"30765"</f>
        <v>30765</v>
      </c>
      <c r="B1449" t="s">
        <v>1669</v>
      </c>
      <c r="C1449" t="s">
        <v>1547</v>
      </c>
      <c r="D1449" t="s">
        <v>40</v>
      </c>
    </row>
    <row r="1450" spans="1:4" x14ac:dyDescent="0.25">
      <c r="A1450" t="str">
        <f>"30786"</f>
        <v>30786</v>
      </c>
      <c r="B1450" t="s">
        <v>1670</v>
      </c>
      <c r="C1450" t="s">
        <v>659</v>
      </c>
      <c r="D1450" t="s">
        <v>6</v>
      </c>
    </row>
    <row r="1451" spans="1:4" x14ac:dyDescent="0.25">
      <c r="A1451" t="str">
        <f>"30789"</f>
        <v>30789</v>
      </c>
      <c r="B1451" t="s">
        <v>1671</v>
      </c>
      <c r="C1451" t="s">
        <v>1547</v>
      </c>
      <c r="D1451" t="s">
        <v>85</v>
      </c>
    </row>
    <row r="1452" spans="1:4" x14ac:dyDescent="0.25">
      <c r="A1452" t="str">
        <f>"30790"</f>
        <v>30790</v>
      </c>
      <c r="B1452" t="s">
        <v>1672</v>
      </c>
      <c r="C1452" t="s">
        <v>1547</v>
      </c>
      <c r="D1452" t="s">
        <v>40</v>
      </c>
    </row>
    <row r="1453" spans="1:4" x14ac:dyDescent="0.25">
      <c r="A1453" t="str">
        <f>"30791"</f>
        <v>30791</v>
      </c>
      <c r="B1453" t="s">
        <v>1673</v>
      </c>
      <c r="C1453" t="s">
        <v>659</v>
      </c>
      <c r="D1453" t="s">
        <v>120</v>
      </c>
    </row>
    <row r="1454" spans="1:4" x14ac:dyDescent="0.25">
      <c r="A1454" t="str">
        <f>"308"</f>
        <v>308</v>
      </c>
      <c r="B1454" t="s">
        <v>1674</v>
      </c>
      <c r="C1454" t="s">
        <v>11</v>
      </c>
      <c r="D1454" t="s">
        <v>149</v>
      </c>
    </row>
    <row r="1455" spans="1:4" x14ac:dyDescent="0.25">
      <c r="A1455" t="str">
        <f>"30826"</f>
        <v>30826</v>
      </c>
      <c r="B1455" t="s">
        <v>1675</v>
      </c>
      <c r="C1455" t="s">
        <v>39</v>
      </c>
      <c r="D1455" t="s">
        <v>9</v>
      </c>
    </row>
    <row r="1456" spans="1:4" x14ac:dyDescent="0.25">
      <c r="A1456" t="str">
        <f>"30828"</f>
        <v>30828</v>
      </c>
      <c r="B1456" t="s">
        <v>1676</v>
      </c>
      <c r="C1456" t="s">
        <v>1547</v>
      </c>
      <c r="D1456" t="s">
        <v>40</v>
      </c>
    </row>
    <row r="1457" spans="1:4" x14ac:dyDescent="0.25">
      <c r="A1457" t="str">
        <f>"30829"</f>
        <v>30829</v>
      </c>
      <c r="B1457" t="s">
        <v>1677</v>
      </c>
      <c r="C1457" t="s">
        <v>1678</v>
      </c>
      <c r="D1457" t="s">
        <v>91</v>
      </c>
    </row>
    <row r="1458" spans="1:4" x14ac:dyDescent="0.25">
      <c r="A1458" t="str">
        <f>"30837"</f>
        <v>30837</v>
      </c>
      <c r="B1458" t="s">
        <v>1679</v>
      </c>
      <c r="C1458" t="s">
        <v>659</v>
      </c>
      <c r="D1458" t="s">
        <v>125</v>
      </c>
    </row>
    <row r="1459" spans="1:4" x14ac:dyDescent="0.25">
      <c r="A1459" t="str">
        <f>"30838"</f>
        <v>30838</v>
      </c>
      <c r="B1459" t="s">
        <v>1680</v>
      </c>
      <c r="C1459" t="s">
        <v>659</v>
      </c>
      <c r="D1459" t="s">
        <v>125</v>
      </c>
    </row>
    <row r="1460" spans="1:4" x14ac:dyDescent="0.25">
      <c r="A1460" t="str">
        <f>"30841"</f>
        <v>30841</v>
      </c>
      <c r="B1460" t="s">
        <v>1681</v>
      </c>
      <c r="C1460" t="s">
        <v>280</v>
      </c>
      <c r="D1460" t="s">
        <v>73</v>
      </c>
    </row>
    <row r="1461" spans="1:4" x14ac:dyDescent="0.25">
      <c r="A1461" t="str">
        <f>"30843"</f>
        <v>30843</v>
      </c>
      <c r="B1461" t="s">
        <v>1682</v>
      </c>
      <c r="C1461" t="s">
        <v>1678</v>
      </c>
      <c r="D1461" t="s">
        <v>91</v>
      </c>
    </row>
    <row r="1462" spans="1:4" x14ac:dyDescent="0.25">
      <c r="A1462" t="str">
        <f>"30844"</f>
        <v>30844</v>
      </c>
      <c r="B1462" t="s">
        <v>1683</v>
      </c>
      <c r="C1462" t="s">
        <v>1678</v>
      </c>
      <c r="D1462" t="s">
        <v>91</v>
      </c>
    </row>
    <row r="1463" spans="1:4" x14ac:dyDescent="0.25">
      <c r="A1463" t="str">
        <f>"30845"</f>
        <v>30845</v>
      </c>
      <c r="B1463" t="s">
        <v>1684</v>
      </c>
      <c r="C1463" t="s">
        <v>659</v>
      </c>
      <c r="D1463" t="s">
        <v>125</v>
      </c>
    </row>
    <row r="1464" spans="1:4" x14ac:dyDescent="0.25">
      <c r="A1464" t="str">
        <f>"30847"</f>
        <v>30847</v>
      </c>
      <c r="B1464" t="s">
        <v>1685</v>
      </c>
      <c r="C1464" t="s">
        <v>1547</v>
      </c>
      <c r="D1464" t="s">
        <v>122</v>
      </c>
    </row>
    <row r="1465" spans="1:4" x14ac:dyDescent="0.25">
      <c r="A1465" t="str">
        <f>"30849"</f>
        <v>30849</v>
      </c>
      <c r="B1465" t="s">
        <v>1686</v>
      </c>
      <c r="C1465" t="s">
        <v>1547</v>
      </c>
      <c r="D1465" t="s">
        <v>122</v>
      </c>
    </row>
    <row r="1466" spans="1:4" x14ac:dyDescent="0.25">
      <c r="A1466" t="str">
        <f>"30850"</f>
        <v>30850</v>
      </c>
      <c r="B1466" t="s">
        <v>1687</v>
      </c>
      <c r="C1466" t="s">
        <v>1547</v>
      </c>
      <c r="D1466" t="s">
        <v>287</v>
      </c>
    </row>
    <row r="1467" spans="1:4" x14ac:dyDescent="0.25">
      <c r="A1467" t="str">
        <f>"30852"</f>
        <v>30852</v>
      </c>
      <c r="B1467" t="s">
        <v>1688</v>
      </c>
      <c r="C1467" t="s">
        <v>1547</v>
      </c>
      <c r="D1467" t="s">
        <v>80</v>
      </c>
    </row>
    <row r="1468" spans="1:4" x14ac:dyDescent="0.25">
      <c r="A1468" t="str">
        <f>"30854"</f>
        <v>30854</v>
      </c>
      <c r="B1468" t="s">
        <v>1689</v>
      </c>
      <c r="C1468" t="s">
        <v>659</v>
      </c>
      <c r="D1468" t="s">
        <v>125</v>
      </c>
    </row>
    <row r="1469" spans="1:4" x14ac:dyDescent="0.25">
      <c r="A1469" t="str">
        <f>"30855"</f>
        <v>30855</v>
      </c>
      <c r="B1469" t="s">
        <v>1690</v>
      </c>
      <c r="C1469" t="s">
        <v>659</v>
      </c>
      <c r="D1469" t="s">
        <v>125</v>
      </c>
    </row>
    <row r="1470" spans="1:4" x14ac:dyDescent="0.25">
      <c r="A1470" t="str">
        <f>"30860"</f>
        <v>30860</v>
      </c>
      <c r="B1470" t="s">
        <v>1691</v>
      </c>
      <c r="C1470" t="s">
        <v>1547</v>
      </c>
      <c r="D1470" t="s">
        <v>75</v>
      </c>
    </row>
    <row r="1471" spans="1:4" x14ac:dyDescent="0.25">
      <c r="A1471" t="str">
        <f>"30862"</f>
        <v>30862</v>
      </c>
      <c r="B1471" t="s">
        <v>1692</v>
      </c>
      <c r="C1471" t="s">
        <v>280</v>
      </c>
      <c r="D1471" t="s">
        <v>73</v>
      </c>
    </row>
    <row r="1472" spans="1:4" x14ac:dyDescent="0.25">
      <c r="A1472" t="str">
        <f>"30866"</f>
        <v>30866</v>
      </c>
      <c r="B1472" t="s">
        <v>1693</v>
      </c>
      <c r="C1472" t="s">
        <v>280</v>
      </c>
      <c r="D1472" t="s">
        <v>73</v>
      </c>
    </row>
    <row r="1473" spans="1:4" x14ac:dyDescent="0.25">
      <c r="A1473" t="str">
        <f>"30869"</f>
        <v>30869</v>
      </c>
      <c r="B1473" t="s">
        <v>1694</v>
      </c>
      <c r="C1473" t="s">
        <v>1040</v>
      </c>
      <c r="D1473" t="s">
        <v>73</v>
      </c>
    </row>
    <row r="1474" spans="1:4" x14ac:dyDescent="0.25">
      <c r="A1474" t="str">
        <f>"30870"</f>
        <v>30870</v>
      </c>
      <c r="B1474" t="s">
        <v>1695</v>
      </c>
      <c r="C1474" t="s">
        <v>1040</v>
      </c>
      <c r="D1474" t="s">
        <v>73</v>
      </c>
    </row>
    <row r="1475" spans="1:4" x14ac:dyDescent="0.25">
      <c r="A1475" t="str">
        <f>"30871"</f>
        <v>30871</v>
      </c>
      <c r="B1475" t="s">
        <v>1696</v>
      </c>
      <c r="C1475" t="s">
        <v>1040</v>
      </c>
      <c r="D1475" t="s">
        <v>73</v>
      </c>
    </row>
    <row r="1476" spans="1:4" x14ac:dyDescent="0.25">
      <c r="A1476" t="str">
        <f>"30872"</f>
        <v>30872</v>
      </c>
      <c r="B1476" t="s">
        <v>1697</v>
      </c>
      <c r="C1476" t="s">
        <v>1040</v>
      </c>
      <c r="D1476" t="s">
        <v>73</v>
      </c>
    </row>
    <row r="1477" spans="1:4" x14ac:dyDescent="0.25">
      <c r="A1477" t="str">
        <f>"30883"</f>
        <v>30883</v>
      </c>
      <c r="B1477" t="s">
        <v>1698</v>
      </c>
      <c r="C1477" t="s">
        <v>1547</v>
      </c>
      <c r="D1477" t="s">
        <v>287</v>
      </c>
    </row>
    <row r="1478" spans="1:4" x14ac:dyDescent="0.25">
      <c r="A1478" t="str">
        <f>"30888"</f>
        <v>30888</v>
      </c>
      <c r="B1478" t="s">
        <v>1699</v>
      </c>
      <c r="C1478" t="s">
        <v>280</v>
      </c>
      <c r="D1478" t="s">
        <v>73</v>
      </c>
    </row>
    <row r="1479" spans="1:4" x14ac:dyDescent="0.25">
      <c r="A1479" t="str">
        <f>"309"</f>
        <v>309</v>
      </c>
      <c r="B1479" t="s">
        <v>1700</v>
      </c>
      <c r="C1479" t="s">
        <v>11</v>
      </c>
      <c r="D1479" t="s">
        <v>176</v>
      </c>
    </row>
    <row r="1480" spans="1:4" x14ac:dyDescent="0.25">
      <c r="A1480" t="str">
        <f>"30905"</f>
        <v>30905</v>
      </c>
      <c r="B1480" t="s">
        <v>1701</v>
      </c>
      <c r="C1480" t="s">
        <v>280</v>
      </c>
      <c r="D1480" t="s">
        <v>135</v>
      </c>
    </row>
    <row r="1481" spans="1:4" x14ac:dyDescent="0.25">
      <c r="A1481" t="str">
        <f>"30906"</f>
        <v>30906</v>
      </c>
      <c r="B1481" t="s">
        <v>1702</v>
      </c>
      <c r="C1481" t="s">
        <v>1040</v>
      </c>
      <c r="D1481" t="s">
        <v>97</v>
      </c>
    </row>
    <row r="1482" spans="1:4" x14ac:dyDescent="0.25">
      <c r="A1482" t="str">
        <f>"30910"</f>
        <v>30910</v>
      </c>
      <c r="B1482" t="s">
        <v>1703</v>
      </c>
      <c r="C1482" t="s">
        <v>1040</v>
      </c>
      <c r="D1482" t="s">
        <v>73</v>
      </c>
    </row>
    <row r="1483" spans="1:4" x14ac:dyDescent="0.25">
      <c r="A1483" t="str">
        <f>"30911"</f>
        <v>30911</v>
      </c>
      <c r="B1483" t="s">
        <v>1704</v>
      </c>
      <c r="C1483" t="s">
        <v>1040</v>
      </c>
      <c r="D1483" t="s">
        <v>73</v>
      </c>
    </row>
    <row r="1484" spans="1:4" x14ac:dyDescent="0.25">
      <c r="A1484" t="str">
        <f>"30912"</f>
        <v>30912</v>
      </c>
      <c r="B1484" t="s">
        <v>1705</v>
      </c>
      <c r="C1484" t="s">
        <v>1040</v>
      </c>
      <c r="D1484" t="s">
        <v>73</v>
      </c>
    </row>
    <row r="1485" spans="1:4" x14ac:dyDescent="0.25">
      <c r="A1485" t="str">
        <f>"30925"</f>
        <v>30925</v>
      </c>
      <c r="B1485" t="s">
        <v>1706</v>
      </c>
      <c r="C1485" t="s">
        <v>280</v>
      </c>
      <c r="D1485" t="s">
        <v>73</v>
      </c>
    </row>
    <row r="1486" spans="1:4" x14ac:dyDescent="0.25">
      <c r="A1486" t="str">
        <f>"30931"</f>
        <v>30931</v>
      </c>
      <c r="B1486" t="s">
        <v>1707</v>
      </c>
      <c r="C1486" t="s">
        <v>280</v>
      </c>
      <c r="D1486" t="s">
        <v>469</v>
      </c>
    </row>
    <row r="1487" spans="1:4" x14ac:dyDescent="0.25">
      <c r="A1487" t="str">
        <f>"30934"</f>
        <v>30934</v>
      </c>
      <c r="B1487" t="s">
        <v>1708</v>
      </c>
      <c r="C1487" t="s">
        <v>280</v>
      </c>
      <c r="D1487" t="s">
        <v>149</v>
      </c>
    </row>
    <row r="1488" spans="1:4" x14ac:dyDescent="0.25">
      <c r="A1488" t="str">
        <f>"30946"</f>
        <v>30946</v>
      </c>
      <c r="B1488" t="s">
        <v>1709</v>
      </c>
      <c r="C1488" t="s">
        <v>280</v>
      </c>
      <c r="D1488" t="s">
        <v>469</v>
      </c>
    </row>
    <row r="1489" spans="1:4" x14ac:dyDescent="0.25">
      <c r="A1489" t="str">
        <f>"30957"</f>
        <v>30957</v>
      </c>
      <c r="B1489" t="s">
        <v>1710</v>
      </c>
      <c r="C1489" t="s">
        <v>1428</v>
      </c>
      <c r="D1489" t="s">
        <v>122</v>
      </c>
    </row>
    <row r="1490" spans="1:4" x14ac:dyDescent="0.25">
      <c r="A1490" t="str">
        <f>"30963"</f>
        <v>30963</v>
      </c>
      <c r="B1490" t="s">
        <v>1711</v>
      </c>
      <c r="C1490" t="s">
        <v>280</v>
      </c>
      <c r="D1490" t="s">
        <v>73</v>
      </c>
    </row>
    <row r="1491" spans="1:4" x14ac:dyDescent="0.25">
      <c r="A1491" t="str">
        <f>"30965"</f>
        <v>30965</v>
      </c>
      <c r="B1491" t="s">
        <v>1712</v>
      </c>
      <c r="C1491" t="s">
        <v>1040</v>
      </c>
      <c r="D1491" t="s">
        <v>582</v>
      </c>
    </row>
    <row r="1492" spans="1:4" x14ac:dyDescent="0.25">
      <c r="A1492" t="str">
        <f>"30968"</f>
        <v>30968</v>
      </c>
      <c r="B1492" t="s">
        <v>1713</v>
      </c>
      <c r="C1492" t="s">
        <v>1547</v>
      </c>
      <c r="D1492" t="s">
        <v>122</v>
      </c>
    </row>
    <row r="1493" spans="1:4" x14ac:dyDescent="0.25">
      <c r="A1493" t="str">
        <f>"30972"</f>
        <v>30972</v>
      </c>
      <c r="B1493" t="s">
        <v>1714</v>
      </c>
      <c r="C1493" t="s">
        <v>1547</v>
      </c>
      <c r="D1493" t="s">
        <v>6</v>
      </c>
    </row>
    <row r="1494" spans="1:4" x14ac:dyDescent="0.25">
      <c r="A1494" t="str">
        <f>"30973"</f>
        <v>30973</v>
      </c>
      <c r="B1494" t="s">
        <v>1715</v>
      </c>
      <c r="C1494" t="s">
        <v>1547</v>
      </c>
      <c r="D1494" t="s">
        <v>6</v>
      </c>
    </row>
    <row r="1495" spans="1:4" x14ac:dyDescent="0.25">
      <c r="A1495" t="str">
        <f>"30974"</f>
        <v>30974</v>
      </c>
      <c r="B1495" t="s">
        <v>1716</v>
      </c>
      <c r="C1495" t="s">
        <v>1717</v>
      </c>
      <c r="D1495" t="s">
        <v>149</v>
      </c>
    </row>
    <row r="1496" spans="1:4" x14ac:dyDescent="0.25">
      <c r="A1496" t="str">
        <f>"30977"</f>
        <v>30977</v>
      </c>
      <c r="B1496" t="s">
        <v>1718</v>
      </c>
      <c r="C1496" t="s">
        <v>659</v>
      </c>
      <c r="D1496" t="s">
        <v>6</v>
      </c>
    </row>
    <row r="1497" spans="1:4" x14ac:dyDescent="0.25">
      <c r="A1497" t="str">
        <f>"30978"</f>
        <v>30978</v>
      </c>
      <c r="B1497" t="s">
        <v>1719</v>
      </c>
      <c r="C1497" t="s">
        <v>659</v>
      </c>
      <c r="D1497" t="s">
        <v>6</v>
      </c>
    </row>
    <row r="1498" spans="1:4" x14ac:dyDescent="0.25">
      <c r="A1498" t="str">
        <f>"30995"</f>
        <v>30995</v>
      </c>
      <c r="B1498" t="s">
        <v>1720</v>
      </c>
      <c r="C1498" t="s">
        <v>1547</v>
      </c>
      <c r="D1498" t="s">
        <v>67</v>
      </c>
    </row>
    <row r="1499" spans="1:4" x14ac:dyDescent="0.25">
      <c r="A1499" t="str">
        <f>"30996"</f>
        <v>30996</v>
      </c>
      <c r="B1499" t="s">
        <v>1721</v>
      </c>
      <c r="C1499" t="s">
        <v>1547</v>
      </c>
      <c r="D1499" t="s">
        <v>85</v>
      </c>
    </row>
    <row r="1500" spans="1:4" x14ac:dyDescent="0.25">
      <c r="A1500" t="str">
        <f>"30998"</f>
        <v>30998</v>
      </c>
      <c r="B1500" t="s">
        <v>1722</v>
      </c>
      <c r="C1500" t="s">
        <v>280</v>
      </c>
      <c r="D1500" t="s">
        <v>469</v>
      </c>
    </row>
    <row r="1501" spans="1:4" x14ac:dyDescent="0.25">
      <c r="A1501" t="str">
        <f>"31018"</f>
        <v>31018</v>
      </c>
      <c r="B1501" t="s">
        <v>1723</v>
      </c>
      <c r="C1501" t="s">
        <v>280</v>
      </c>
      <c r="D1501" t="s">
        <v>149</v>
      </c>
    </row>
    <row r="1502" spans="1:4" x14ac:dyDescent="0.25">
      <c r="A1502" t="str">
        <f>"31041"</f>
        <v>31041</v>
      </c>
      <c r="B1502" t="s">
        <v>1724</v>
      </c>
      <c r="C1502" t="s">
        <v>659</v>
      </c>
      <c r="D1502" t="s">
        <v>379</v>
      </c>
    </row>
    <row r="1503" spans="1:4" x14ac:dyDescent="0.25">
      <c r="A1503" t="str">
        <f>"31046"</f>
        <v>31046</v>
      </c>
      <c r="B1503" t="s">
        <v>1725</v>
      </c>
      <c r="C1503" t="s">
        <v>659</v>
      </c>
      <c r="D1503" t="s">
        <v>85</v>
      </c>
    </row>
    <row r="1504" spans="1:4" x14ac:dyDescent="0.25">
      <c r="A1504" t="str">
        <f>"31057"</f>
        <v>31057</v>
      </c>
      <c r="B1504" t="s">
        <v>1726</v>
      </c>
      <c r="C1504" t="s">
        <v>1428</v>
      </c>
      <c r="D1504" t="s">
        <v>122</v>
      </c>
    </row>
    <row r="1505" spans="1:4" x14ac:dyDescent="0.25">
      <c r="A1505" t="str">
        <f>"31059"</f>
        <v>31059</v>
      </c>
      <c r="B1505" t="s">
        <v>1727</v>
      </c>
      <c r="C1505" t="s">
        <v>1547</v>
      </c>
      <c r="D1505" t="s">
        <v>122</v>
      </c>
    </row>
    <row r="1506" spans="1:4" x14ac:dyDescent="0.25">
      <c r="A1506" t="str">
        <f>"31063"</f>
        <v>31063</v>
      </c>
      <c r="B1506" t="s">
        <v>1728</v>
      </c>
      <c r="C1506" t="s">
        <v>1547</v>
      </c>
      <c r="D1506" t="s">
        <v>75</v>
      </c>
    </row>
    <row r="1507" spans="1:4" x14ac:dyDescent="0.25">
      <c r="A1507" t="str">
        <f>"31069"</f>
        <v>31069</v>
      </c>
      <c r="B1507" t="s">
        <v>1729</v>
      </c>
      <c r="C1507" t="s">
        <v>659</v>
      </c>
      <c r="D1507" t="s">
        <v>85</v>
      </c>
    </row>
    <row r="1508" spans="1:4" x14ac:dyDescent="0.25">
      <c r="A1508" t="str">
        <f>"31072"</f>
        <v>31072</v>
      </c>
      <c r="B1508" t="s">
        <v>1730</v>
      </c>
      <c r="C1508" t="s">
        <v>1547</v>
      </c>
      <c r="D1508" t="s">
        <v>133</v>
      </c>
    </row>
    <row r="1509" spans="1:4" x14ac:dyDescent="0.25">
      <c r="A1509" t="str">
        <f>"31074"</f>
        <v>31074</v>
      </c>
      <c r="B1509" t="s">
        <v>1731</v>
      </c>
      <c r="C1509" t="s">
        <v>1040</v>
      </c>
      <c r="D1509" t="s">
        <v>73</v>
      </c>
    </row>
    <row r="1510" spans="1:4" x14ac:dyDescent="0.25">
      <c r="A1510" t="str">
        <f>"31075"</f>
        <v>31075</v>
      </c>
      <c r="B1510" t="s">
        <v>1732</v>
      </c>
      <c r="C1510" t="s">
        <v>1040</v>
      </c>
      <c r="D1510" t="s">
        <v>73</v>
      </c>
    </row>
    <row r="1511" spans="1:4" x14ac:dyDescent="0.25">
      <c r="A1511" t="str">
        <f>"31076"</f>
        <v>31076</v>
      </c>
      <c r="B1511" t="s">
        <v>1733</v>
      </c>
      <c r="C1511" t="s">
        <v>1040</v>
      </c>
      <c r="D1511" t="s">
        <v>73</v>
      </c>
    </row>
    <row r="1512" spans="1:4" x14ac:dyDescent="0.25">
      <c r="A1512" t="str">
        <f>"31077"</f>
        <v>31077</v>
      </c>
      <c r="B1512" t="s">
        <v>1734</v>
      </c>
      <c r="C1512" t="s">
        <v>1040</v>
      </c>
      <c r="D1512" t="s">
        <v>73</v>
      </c>
    </row>
    <row r="1513" spans="1:4" x14ac:dyDescent="0.25">
      <c r="A1513" t="str">
        <f>"31095"</f>
        <v>31095</v>
      </c>
      <c r="B1513" t="s">
        <v>1735</v>
      </c>
      <c r="C1513" t="s">
        <v>280</v>
      </c>
      <c r="D1513" t="s">
        <v>292</v>
      </c>
    </row>
    <row r="1514" spans="1:4" x14ac:dyDescent="0.25">
      <c r="A1514" t="str">
        <f>"31096"</f>
        <v>31096</v>
      </c>
      <c r="B1514" t="s">
        <v>1736</v>
      </c>
      <c r="C1514" t="s">
        <v>1547</v>
      </c>
      <c r="D1514" t="s">
        <v>122</v>
      </c>
    </row>
    <row r="1515" spans="1:4" x14ac:dyDescent="0.25">
      <c r="A1515" t="str">
        <f>"31100"</f>
        <v>31100</v>
      </c>
      <c r="B1515" t="s">
        <v>1737</v>
      </c>
      <c r="C1515" t="s">
        <v>1040</v>
      </c>
      <c r="D1515" t="s">
        <v>125</v>
      </c>
    </row>
    <row r="1516" spans="1:4" x14ac:dyDescent="0.25">
      <c r="A1516" t="str">
        <f>"31104"</f>
        <v>31104</v>
      </c>
      <c r="B1516" t="s">
        <v>1738</v>
      </c>
      <c r="C1516" t="s">
        <v>1040</v>
      </c>
      <c r="D1516" t="s">
        <v>73</v>
      </c>
    </row>
    <row r="1517" spans="1:4" x14ac:dyDescent="0.25">
      <c r="A1517" t="str">
        <f>"31106"</f>
        <v>31106</v>
      </c>
      <c r="B1517" t="s">
        <v>1739</v>
      </c>
      <c r="C1517" t="s">
        <v>1040</v>
      </c>
      <c r="D1517" t="s">
        <v>40</v>
      </c>
    </row>
    <row r="1518" spans="1:4" x14ac:dyDescent="0.25">
      <c r="A1518" t="str">
        <f>"31107"</f>
        <v>31107</v>
      </c>
      <c r="B1518" t="s">
        <v>1740</v>
      </c>
      <c r="C1518" t="s">
        <v>1547</v>
      </c>
      <c r="D1518" t="s">
        <v>287</v>
      </c>
    </row>
    <row r="1519" spans="1:4" x14ac:dyDescent="0.25">
      <c r="A1519" t="str">
        <f>"31114"</f>
        <v>31114</v>
      </c>
      <c r="B1519" t="s">
        <v>1741</v>
      </c>
      <c r="C1519" t="s">
        <v>1125</v>
      </c>
      <c r="D1519" t="s">
        <v>141</v>
      </c>
    </row>
    <row r="1520" spans="1:4" x14ac:dyDescent="0.25">
      <c r="A1520" t="str">
        <f>"31116"</f>
        <v>31116</v>
      </c>
      <c r="B1520" t="s">
        <v>1742</v>
      </c>
      <c r="C1520" t="s">
        <v>1743</v>
      </c>
      <c r="D1520" t="s">
        <v>17</v>
      </c>
    </row>
    <row r="1521" spans="1:4" x14ac:dyDescent="0.25">
      <c r="A1521" t="str">
        <f>"31118"</f>
        <v>31118</v>
      </c>
      <c r="B1521" t="s">
        <v>1744</v>
      </c>
      <c r="C1521" t="s">
        <v>339</v>
      </c>
      <c r="D1521" t="s">
        <v>17</v>
      </c>
    </row>
    <row r="1522" spans="1:4" x14ac:dyDescent="0.25">
      <c r="A1522" t="str">
        <f>"31119"</f>
        <v>31119</v>
      </c>
      <c r="B1522" t="s">
        <v>1745</v>
      </c>
      <c r="C1522" t="s">
        <v>1547</v>
      </c>
      <c r="D1522" t="s">
        <v>287</v>
      </c>
    </row>
    <row r="1523" spans="1:4" x14ac:dyDescent="0.25">
      <c r="A1523" t="str">
        <f>"31127"</f>
        <v>31127</v>
      </c>
      <c r="B1523" t="s">
        <v>1746</v>
      </c>
      <c r="C1523" t="s">
        <v>659</v>
      </c>
      <c r="D1523" t="s">
        <v>287</v>
      </c>
    </row>
    <row r="1524" spans="1:4" x14ac:dyDescent="0.25">
      <c r="A1524" t="str">
        <f>"31129"</f>
        <v>31129</v>
      </c>
      <c r="B1524" t="s">
        <v>1747</v>
      </c>
      <c r="C1524" t="s">
        <v>1547</v>
      </c>
      <c r="D1524" t="s">
        <v>85</v>
      </c>
    </row>
    <row r="1525" spans="1:4" x14ac:dyDescent="0.25">
      <c r="A1525" t="str">
        <f>"31130"</f>
        <v>31130</v>
      </c>
      <c r="B1525" t="s">
        <v>1748</v>
      </c>
      <c r="C1525" t="s">
        <v>1547</v>
      </c>
      <c r="D1525" t="s">
        <v>85</v>
      </c>
    </row>
    <row r="1526" spans="1:4" x14ac:dyDescent="0.25">
      <c r="A1526" t="str">
        <f>"31131"</f>
        <v>31131</v>
      </c>
      <c r="B1526" t="s">
        <v>1749</v>
      </c>
      <c r="C1526" t="s">
        <v>44</v>
      </c>
      <c r="D1526" t="s">
        <v>73</v>
      </c>
    </row>
    <row r="1527" spans="1:4" x14ac:dyDescent="0.25">
      <c r="A1527" t="str">
        <f>"31132"</f>
        <v>31132</v>
      </c>
      <c r="B1527" t="s">
        <v>1750</v>
      </c>
      <c r="C1527" t="s">
        <v>1547</v>
      </c>
      <c r="D1527" t="s">
        <v>99</v>
      </c>
    </row>
    <row r="1528" spans="1:4" x14ac:dyDescent="0.25">
      <c r="A1528" t="str">
        <f>"31134"</f>
        <v>31134</v>
      </c>
      <c r="B1528" t="s">
        <v>1751</v>
      </c>
      <c r="C1528" t="s">
        <v>1547</v>
      </c>
      <c r="D1528" t="s">
        <v>6</v>
      </c>
    </row>
    <row r="1529" spans="1:4" x14ac:dyDescent="0.25">
      <c r="A1529" t="str">
        <f>"31135"</f>
        <v>31135</v>
      </c>
      <c r="B1529" t="s">
        <v>1752</v>
      </c>
      <c r="C1529" t="s">
        <v>1547</v>
      </c>
      <c r="D1529" t="s">
        <v>85</v>
      </c>
    </row>
    <row r="1530" spans="1:4" x14ac:dyDescent="0.25">
      <c r="A1530" t="str">
        <f>"31136"</f>
        <v>31136</v>
      </c>
      <c r="B1530" t="s">
        <v>1753</v>
      </c>
      <c r="C1530" t="s">
        <v>1547</v>
      </c>
      <c r="D1530" t="s">
        <v>67</v>
      </c>
    </row>
    <row r="1531" spans="1:4" x14ac:dyDescent="0.25">
      <c r="A1531" t="str">
        <f>"31137"</f>
        <v>31137</v>
      </c>
      <c r="B1531" t="s">
        <v>1754</v>
      </c>
      <c r="C1531" t="s">
        <v>1547</v>
      </c>
      <c r="D1531" t="s">
        <v>99</v>
      </c>
    </row>
    <row r="1532" spans="1:4" x14ac:dyDescent="0.25">
      <c r="A1532" t="str">
        <f>"31138"</f>
        <v>31138</v>
      </c>
      <c r="B1532" t="s">
        <v>1755</v>
      </c>
      <c r="C1532" t="s">
        <v>1547</v>
      </c>
      <c r="D1532" t="s">
        <v>12</v>
      </c>
    </row>
    <row r="1533" spans="1:4" x14ac:dyDescent="0.25">
      <c r="A1533" t="str">
        <f>"31139"</f>
        <v>31139</v>
      </c>
      <c r="B1533" t="s">
        <v>1756</v>
      </c>
      <c r="C1533" t="s">
        <v>1547</v>
      </c>
      <c r="D1533" t="s">
        <v>6</v>
      </c>
    </row>
    <row r="1534" spans="1:4" x14ac:dyDescent="0.25">
      <c r="A1534" t="str">
        <f>"31140"</f>
        <v>31140</v>
      </c>
      <c r="B1534" t="s">
        <v>1757</v>
      </c>
      <c r="C1534" t="s">
        <v>1547</v>
      </c>
      <c r="D1534" t="s">
        <v>99</v>
      </c>
    </row>
    <row r="1535" spans="1:4" x14ac:dyDescent="0.25">
      <c r="A1535" t="str">
        <f>"31141"</f>
        <v>31141</v>
      </c>
      <c r="B1535" t="s">
        <v>1758</v>
      </c>
      <c r="C1535" t="s">
        <v>1547</v>
      </c>
      <c r="D1535" t="s">
        <v>67</v>
      </c>
    </row>
    <row r="1536" spans="1:4" x14ac:dyDescent="0.25">
      <c r="A1536" t="str">
        <f>"31142"</f>
        <v>31142</v>
      </c>
      <c r="B1536" t="s">
        <v>1759</v>
      </c>
      <c r="C1536" t="s">
        <v>1547</v>
      </c>
      <c r="D1536" t="s">
        <v>12</v>
      </c>
    </row>
    <row r="1537" spans="1:4" x14ac:dyDescent="0.25">
      <c r="A1537" t="str">
        <f>"31143"</f>
        <v>31143</v>
      </c>
      <c r="B1537" t="s">
        <v>1760</v>
      </c>
      <c r="C1537" t="s">
        <v>1547</v>
      </c>
      <c r="D1537" t="s">
        <v>149</v>
      </c>
    </row>
    <row r="1538" spans="1:4" x14ac:dyDescent="0.25">
      <c r="A1538" t="str">
        <f>"31144"</f>
        <v>31144</v>
      </c>
      <c r="B1538" t="s">
        <v>1761</v>
      </c>
      <c r="C1538" t="s">
        <v>1547</v>
      </c>
      <c r="D1538" t="s">
        <v>99</v>
      </c>
    </row>
    <row r="1539" spans="1:4" x14ac:dyDescent="0.25">
      <c r="A1539" t="str">
        <f>"31151"</f>
        <v>31151</v>
      </c>
      <c r="B1539" t="s">
        <v>1762</v>
      </c>
      <c r="C1539" t="s">
        <v>659</v>
      </c>
      <c r="D1539" t="s">
        <v>40</v>
      </c>
    </row>
    <row r="1540" spans="1:4" x14ac:dyDescent="0.25">
      <c r="A1540" t="str">
        <f>"31152"</f>
        <v>31152</v>
      </c>
      <c r="B1540" t="s">
        <v>1763</v>
      </c>
      <c r="C1540" t="s">
        <v>1547</v>
      </c>
      <c r="D1540" t="s">
        <v>75</v>
      </c>
    </row>
    <row r="1541" spans="1:4" x14ac:dyDescent="0.25">
      <c r="A1541" t="str">
        <f>"31153"</f>
        <v>31153</v>
      </c>
      <c r="B1541" t="s">
        <v>1764</v>
      </c>
      <c r="C1541" t="s">
        <v>1547</v>
      </c>
      <c r="D1541" t="s">
        <v>122</v>
      </c>
    </row>
    <row r="1542" spans="1:4" x14ac:dyDescent="0.25">
      <c r="A1542" t="str">
        <f>"31157"</f>
        <v>31157</v>
      </c>
      <c r="B1542" t="s">
        <v>1765</v>
      </c>
      <c r="C1542" t="s">
        <v>1428</v>
      </c>
      <c r="D1542" t="s">
        <v>122</v>
      </c>
    </row>
    <row r="1543" spans="1:4" x14ac:dyDescent="0.25">
      <c r="A1543" t="str">
        <f>"31162"</f>
        <v>31162</v>
      </c>
      <c r="B1543" t="s">
        <v>1766</v>
      </c>
      <c r="C1543" t="s">
        <v>659</v>
      </c>
      <c r="D1543" t="s">
        <v>91</v>
      </c>
    </row>
    <row r="1544" spans="1:4" x14ac:dyDescent="0.25">
      <c r="A1544" t="str">
        <f>"31168"</f>
        <v>31168</v>
      </c>
      <c r="B1544" t="s">
        <v>1767</v>
      </c>
      <c r="C1544" t="s">
        <v>1040</v>
      </c>
      <c r="D1544" t="s">
        <v>149</v>
      </c>
    </row>
    <row r="1545" spans="1:4" x14ac:dyDescent="0.25">
      <c r="A1545" t="str">
        <f>"31169"</f>
        <v>31169</v>
      </c>
      <c r="B1545" t="s">
        <v>1768</v>
      </c>
      <c r="C1545" t="s">
        <v>1040</v>
      </c>
      <c r="D1545" t="s">
        <v>73</v>
      </c>
    </row>
    <row r="1546" spans="1:4" x14ac:dyDescent="0.25">
      <c r="A1546" t="str">
        <f>"31170"</f>
        <v>31170</v>
      </c>
      <c r="B1546" t="s">
        <v>1769</v>
      </c>
      <c r="C1546" t="s">
        <v>1040</v>
      </c>
      <c r="D1546" t="s">
        <v>73</v>
      </c>
    </row>
    <row r="1547" spans="1:4" x14ac:dyDescent="0.25">
      <c r="A1547" t="str">
        <f>"31173"</f>
        <v>31173</v>
      </c>
      <c r="B1547" t="s">
        <v>1770</v>
      </c>
      <c r="C1547" t="s">
        <v>1547</v>
      </c>
      <c r="D1547" t="s">
        <v>120</v>
      </c>
    </row>
    <row r="1548" spans="1:4" x14ac:dyDescent="0.25">
      <c r="A1548" t="str">
        <f>"31174"</f>
        <v>31174</v>
      </c>
      <c r="B1548" t="s">
        <v>1771</v>
      </c>
      <c r="C1548" t="s">
        <v>1772</v>
      </c>
      <c r="D1548" t="s">
        <v>469</v>
      </c>
    </row>
    <row r="1549" spans="1:4" x14ac:dyDescent="0.25">
      <c r="A1549" t="str">
        <f>"31176"</f>
        <v>31176</v>
      </c>
      <c r="B1549" t="s">
        <v>1773</v>
      </c>
      <c r="C1549" t="s">
        <v>659</v>
      </c>
      <c r="D1549" t="s">
        <v>19</v>
      </c>
    </row>
    <row r="1550" spans="1:4" x14ac:dyDescent="0.25">
      <c r="A1550" t="str">
        <f>"31178"</f>
        <v>31178</v>
      </c>
      <c r="B1550" t="s">
        <v>1774</v>
      </c>
      <c r="C1550" t="s">
        <v>1040</v>
      </c>
      <c r="D1550" t="s">
        <v>73</v>
      </c>
    </row>
    <row r="1551" spans="1:4" x14ac:dyDescent="0.25">
      <c r="A1551" t="str">
        <f>"31179"</f>
        <v>31179</v>
      </c>
      <c r="B1551" t="s">
        <v>1775</v>
      </c>
      <c r="C1551" t="s">
        <v>1040</v>
      </c>
      <c r="D1551" t="s">
        <v>73</v>
      </c>
    </row>
    <row r="1552" spans="1:4" x14ac:dyDescent="0.25">
      <c r="A1552" t="str">
        <f>"31184"</f>
        <v>31184</v>
      </c>
      <c r="B1552" t="s">
        <v>1776</v>
      </c>
      <c r="C1552" t="s">
        <v>1040</v>
      </c>
      <c r="D1552" t="s">
        <v>582</v>
      </c>
    </row>
    <row r="1553" spans="1:4" x14ac:dyDescent="0.25">
      <c r="A1553" t="str">
        <f>"31186"</f>
        <v>31186</v>
      </c>
      <c r="B1553" t="s">
        <v>1777</v>
      </c>
      <c r="C1553" t="s">
        <v>280</v>
      </c>
      <c r="D1553" t="s">
        <v>73</v>
      </c>
    </row>
    <row r="1554" spans="1:4" x14ac:dyDescent="0.25">
      <c r="A1554" t="str">
        <f>"31191"</f>
        <v>31191</v>
      </c>
      <c r="B1554" t="s">
        <v>1778</v>
      </c>
      <c r="C1554" t="s">
        <v>1547</v>
      </c>
      <c r="D1554" t="s">
        <v>99</v>
      </c>
    </row>
    <row r="1555" spans="1:4" x14ac:dyDescent="0.25">
      <c r="A1555" t="str">
        <f>"31193"</f>
        <v>31193</v>
      </c>
      <c r="B1555" t="s">
        <v>1779</v>
      </c>
      <c r="C1555" t="s">
        <v>1040</v>
      </c>
      <c r="D1555" t="s">
        <v>149</v>
      </c>
    </row>
    <row r="1556" spans="1:4" x14ac:dyDescent="0.25">
      <c r="A1556" t="str">
        <f>"312"</f>
        <v>312</v>
      </c>
      <c r="B1556" t="s">
        <v>1780</v>
      </c>
      <c r="C1556" t="s">
        <v>272</v>
      </c>
      <c r="D1556" t="s">
        <v>149</v>
      </c>
    </row>
    <row r="1557" spans="1:4" x14ac:dyDescent="0.25">
      <c r="A1557" t="str">
        <f>"31204"</f>
        <v>31204</v>
      </c>
      <c r="B1557" t="s">
        <v>1781</v>
      </c>
      <c r="C1557" t="s">
        <v>1547</v>
      </c>
      <c r="D1557" t="s">
        <v>99</v>
      </c>
    </row>
    <row r="1558" spans="1:4" x14ac:dyDescent="0.25">
      <c r="A1558" t="str">
        <f>"31205"</f>
        <v>31205</v>
      </c>
      <c r="B1558" t="s">
        <v>1782</v>
      </c>
      <c r="C1558" t="s">
        <v>659</v>
      </c>
      <c r="D1558" t="s">
        <v>19</v>
      </c>
    </row>
    <row r="1559" spans="1:4" x14ac:dyDescent="0.25">
      <c r="A1559" t="str">
        <f>"31212"</f>
        <v>31212</v>
      </c>
      <c r="B1559" t="s">
        <v>1783</v>
      </c>
      <c r="C1559" t="s">
        <v>659</v>
      </c>
      <c r="D1559" t="s">
        <v>85</v>
      </c>
    </row>
    <row r="1560" spans="1:4" x14ac:dyDescent="0.25">
      <c r="A1560" t="str">
        <f>"31214"</f>
        <v>31214</v>
      </c>
      <c r="B1560" t="s">
        <v>1784</v>
      </c>
      <c r="C1560" t="s">
        <v>1547</v>
      </c>
      <c r="D1560" t="s">
        <v>99</v>
      </c>
    </row>
    <row r="1561" spans="1:4" x14ac:dyDescent="0.25">
      <c r="A1561" t="str">
        <f>"31215"</f>
        <v>31215</v>
      </c>
      <c r="B1561" t="s">
        <v>1785</v>
      </c>
      <c r="C1561" t="s">
        <v>1547</v>
      </c>
      <c r="D1561" t="s">
        <v>133</v>
      </c>
    </row>
    <row r="1562" spans="1:4" x14ac:dyDescent="0.25">
      <c r="A1562" t="str">
        <f>"31218"</f>
        <v>31218</v>
      </c>
      <c r="B1562" t="s">
        <v>1786</v>
      </c>
      <c r="C1562" t="s">
        <v>1547</v>
      </c>
      <c r="D1562" t="s">
        <v>133</v>
      </c>
    </row>
    <row r="1563" spans="1:4" x14ac:dyDescent="0.25">
      <c r="A1563" t="str">
        <f>"31219"</f>
        <v>31219</v>
      </c>
      <c r="B1563" t="s">
        <v>1787</v>
      </c>
      <c r="C1563" t="s">
        <v>1547</v>
      </c>
      <c r="D1563" t="s">
        <v>12</v>
      </c>
    </row>
    <row r="1564" spans="1:4" x14ac:dyDescent="0.25">
      <c r="A1564" t="str">
        <f>"31220"</f>
        <v>31220</v>
      </c>
      <c r="B1564" t="s">
        <v>1788</v>
      </c>
      <c r="C1564" t="s">
        <v>1040</v>
      </c>
      <c r="D1564" t="s">
        <v>99</v>
      </c>
    </row>
    <row r="1565" spans="1:4" x14ac:dyDescent="0.25">
      <c r="A1565" t="str">
        <f>"31224"</f>
        <v>31224</v>
      </c>
      <c r="B1565" t="s">
        <v>1789</v>
      </c>
      <c r="C1565" t="s">
        <v>1040</v>
      </c>
      <c r="D1565" t="s">
        <v>73</v>
      </c>
    </row>
    <row r="1566" spans="1:4" x14ac:dyDescent="0.25">
      <c r="A1566" t="str">
        <f>"31225"</f>
        <v>31225</v>
      </c>
      <c r="B1566" t="s">
        <v>1790</v>
      </c>
      <c r="C1566" t="s">
        <v>659</v>
      </c>
      <c r="D1566" t="s">
        <v>125</v>
      </c>
    </row>
    <row r="1567" spans="1:4" x14ac:dyDescent="0.25">
      <c r="A1567" t="str">
        <f>"31226"</f>
        <v>31226</v>
      </c>
      <c r="B1567" t="s">
        <v>1791</v>
      </c>
      <c r="C1567" t="s">
        <v>1040</v>
      </c>
      <c r="D1567" t="s">
        <v>73</v>
      </c>
    </row>
    <row r="1568" spans="1:4" x14ac:dyDescent="0.25">
      <c r="A1568" t="str">
        <f>"31227"</f>
        <v>31227</v>
      </c>
      <c r="B1568" t="s">
        <v>1792</v>
      </c>
      <c r="C1568" t="s">
        <v>1428</v>
      </c>
      <c r="D1568" t="s">
        <v>65</v>
      </c>
    </row>
    <row r="1569" spans="1:4" x14ac:dyDescent="0.25">
      <c r="A1569" t="str">
        <f>"31228"</f>
        <v>31228</v>
      </c>
      <c r="B1569" t="s">
        <v>1793</v>
      </c>
      <c r="C1569" t="s">
        <v>1547</v>
      </c>
      <c r="D1569" t="s">
        <v>12</v>
      </c>
    </row>
    <row r="1570" spans="1:4" x14ac:dyDescent="0.25">
      <c r="A1570" t="str">
        <f>"31229"</f>
        <v>31229</v>
      </c>
      <c r="B1570" t="s">
        <v>1794</v>
      </c>
      <c r="C1570" t="s">
        <v>280</v>
      </c>
      <c r="D1570" t="s">
        <v>292</v>
      </c>
    </row>
    <row r="1571" spans="1:4" x14ac:dyDescent="0.25">
      <c r="A1571" t="str">
        <f>"31230"</f>
        <v>31230</v>
      </c>
      <c r="B1571" t="s">
        <v>1795</v>
      </c>
      <c r="C1571" t="s">
        <v>280</v>
      </c>
      <c r="D1571" t="s">
        <v>292</v>
      </c>
    </row>
    <row r="1572" spans="1:4" x14ac:dyDescent="0.25">
      <c r="A1572" t="str">
        <f>"31231"</f>
        <v>31231</v>
      </c>
      <c r="B1572" t="s">
        <v>1796</v>
      </c>
      <c r="C1572" t="s">
        <v>280</v>
      </c>
      <c r="D1572" t="s">
        <v>292</v>
      </c>
    </row>
    <row r="1573" spans="1:4" x14ac:dyDescent="0.25">
      <c r="A1573" t="str">
        <f>"31232"</f>
        <v>31232</v>
      </c>
      <c r="B1573" t="s">
        <v>1797</v>
      </c>
      <c r="C1573" t="s">
        <v>280</v>
      </c>
      <c r="D1573" t="s">
        <v>292</v>
      </c>
    </row>
    <row r="1574" spans="1:4" x14ac:dyDescent="0.25">
      <c r="A1574" t="str">
        <f>"31233"</f>
        <v>31233</v>
      </c>
      <c r="B1574" t="s">
        <v>1798</v>
      </c>
      <c r="C1574" t="s">
        <v>280</v>
      </c>
      <c r="D1574" t="s">
        <v>292</v>
      </c>
    </row>
    <row r="1575" spans="1:4" x14ac:dyDescent="0.25">
      <c r="A1575" t="str">
        <f>"31236"</f>
        <v>31236</v>
      </c>
      <c r="B1575" t="s">
        <v>1799</v>
      </c>
      <c r="C1575" t="s">
        <v>280</v>
      </c>
      <c r="D1575" t="s">
        <v>292</v>
      </c>
    </row>
    <row r="1576" spans="1:4" x14ac:dyDescent="0.25">
      <c r="A1576" t="str">
        <f>"31237"</f>
        <v>31237</v>
      </c>
      <c r="B1576" t="s">
        <v>1800</v>
      </c>
      <c r="C1576" t="s">
        <v>280</v>
      </c>
      <c r="D1576" t="s">
        <v>292</v>
      </c>
    </row>
    <row r="1577" spans="1:4" x14ac:dyDescent="0.25">
      <c r="A1577" t="str">
        <f>"31238"</f>
        <v>31238</v>
      </c>
      <c r="B1577" t="s">
        <v>1801</v>
      </c>
      <c r="C1577" t="s">
        <v>280</v>
      </c>
      <c r="D1577" t="s">
        <v>292</v>
      </c>
    </row>
    <row r="1578" spans="1:4" x14ac:dyDescent="0.25">
      <c r="A1578" t="str">
        <f>"31239"</f>
        <v>31239</v>
      </c>
      <c r="B1578" t="s">
        <v>1802</v>
      </c>
      <c r="C1578" t="s">
        <v>280</v>
      </c>
      <c r="D1578" t="s">
        <v>292</v>
      </c>
    </row>
    <row r="1579" spans="1:4" x14ac:dyDescent="0.25">
      <c r="A1579" t="str">
        <f>"31240"</f>
        <v>31240</v>
      </c>
      <c r="B1579" t="s">
        <v>1803</v>
      </c>
      <c r="C1579" t="s">
        <v>280</v>
      </c>
      <c r="D1579" t="s">
        <v>292</v>
      </c>
    </row>
    <row r="1580" spans="1:4" x14ac:dyDescent="0.25">
      <c r="A1580" t="str">
        <f>"31241"</f>
        <v>31241</v>
      </c>
      <c r="B1580" t="s">
        <v>1804</v>
      </c>
      <c r="C1580" t="s">
        <v>659</v>
      </c>
      <c r="D1580" t="s">
        <v>85</v>
      </c>
    </row>
    <row r="1581" spans="1:4" x14ac:dyDescent="0.25">
      <c r="A1581" t="str">
        <f>"31242"</f>
        <v>31242</v>
      </c>
      <c r="B1581" t="s">
        <v>1805</v>
      </c>
      <c r="C1581" t="s">
        <v>1806</v>
      </c>
      <c r="D1581" t="s">
        <v>58</v>
      </c>
    </row>
    <row r="1582" spans="1:4" x14ac:dyDescent="0.25">
      <c r="A1582" t="str">
        <f>"31243"</f>
        <v>31243</v>
      </c>
      <c r="B1582" t="s">
        <v>1807</v>
      </c>
      <c r="C1582" t="s">
        <v>1808</v>
      </c>
      <c r="D1582" t="s">
        <v>17</v>
      </c>
    </row>
    <row r="1583" spans="1:4" x14ac:dyDescent="0.25">
      <c r="A1583" t="str">
        <f>"31244"</f>
        <v>31244</v>
      </c>
      <c r="B1583" t="s">
        <v>1809</v>
      </c>
      <c r="C1583" t="s">
        <v>1810</v>
      </c>
      <c r="D1583" t="s">
        <v>513</v>
      </c>
    </row>
    <row r="1584" spans="1:4" x14ac:dyDescent="0.25">
      <c r="A1584" t="str">
        <f>"31245"</f>
        <v>31245</v>
      </c>
      <c r="B1584" t="s">
        <v>1811</v>
      </c>
      <c r="C1584" t="s">
        <v>1812</v>
      </c>
      <c r="D1584" t="s">
        <v>17</v>
      </c>
    </row>
    <row r="1585" spans="1:4" x14ac:dyDescent="0.25">
      <c r="A1585" t="str">
        <f>"31246"</f>
        <v>31246</v>
      </c>
      <c r="B1585" t="s">
        <v>1813</v>
      </c>
      <c r="C1585" t="s">
        <v>1547</v>
      </c>
      <c r="D1585" t="s">
        <v>85</v>
      </c>
    </row>
    <row r="1586" spans="1:4" x14ac:dyDescent="0.25">
      <c r="A1586" t="str">
        <f>"31247"</f>
        <v>31247</v>
      </c>
      <c r="B1586" t="s">
        <v>1814</v>
      </c>
      <c r="C1586" t="s">
        <v>1547</v>
      </c>
      <c r="D1586" t="s">
        <v>133</v>
      </c>
    </row>
    <row r="1587" spans="1:4" x14ac:dyDescent="0.25">
      <c r="A1587" t="str">
        <f>"31248"</f>
        <v>31248</v>
      </c>
      <c r="B1587" t="s">
        <v>1815</v>
      </c>
      <c r="C1587" t="s">
        <v>1547</v>
      </c>
      <c r="D1587" t="s">
        <v>19</v>
      </c>
    </row>
    <row r="1588" spans="1:4" x14ac:dyDescent="0.25">
      <c r="A1588" t="str">
        <f>"31249"</f>
        <v>31249</v>
      </c>
      <c r="B1588" t="s">
        <v>1816</v>
      </c>
      <c r="C1588" t="s">
        <v>1547</v>
      </c>
      <c r="D1588" t="s">
        <v>19</v>
      </c>
    </row>
    <row r="1589" spans="1:4" x14ac:dyDescent="0.25">
      <c r="A1589" t="str">
        <f>"31250"</f>
        <v>31250</v>
      </c>
      <c r="B1589" t="s">
        <v>1817</v>
      </c>
      <c r="C1589" t="s">
        <v>1547</v>
      </c>
      <c r="D1589" t="s">
        <v>122</v>
      </c>
    </row>
    <row r="1590" spans="1:4" x14ac:dyDescent="0.25">
      <c r="A1590" t="str">
        <f>"31251"</f>
        <v>31251</v>
      </c>
      <c r="B1590" t="s">
        <v>1818</v>
      </c>
      <c r="C1590" t="s">
        <v>1547</v>
      </c>
      <c r="D1590" t="s">
        <v>75</v>
      </c>
    </row>
    <row r="1591" spans="1:4" x14ac:dyDescent="0.25">
      <c r="A1591" t="str">
        <f>"31252"</f>
        <v>31252</v>
      </c>
      <c r="B1591" t="s">
        <v>1819</v>
      </c>
      <c r="C1591" t="s">
        <v>659</v>
      </c>
      <c r="D1591" t="s">
        <v>287</v>
      </c>
    </row>
    <row r="1592" spans="1:4" x14ac:dyDescent="0.25">
      <c r="A1592" t="str">
        <f>"31253"</f>
        <v>31253</v>
      </c>
      <c r="B1592" t="s">
        <v>1820</v>
      </c>
      <c r="C1592" t="s">
        <v>1547</v>
      </c>
      <c r="D1592" t="s">
        <v>85</v>
      </c>
    </row>
    <row r="1593" spans="1:4" x14ac:dyDescent="0.25">
      <c r="A1593" t="str">
        <f>"31254"</f>
        <v>31254</v>
      </c>
      <c r="B1593" t="s">
        <v>1821</v>
      </c>
      <c r="C1593" t="s">
        <v>1547</v>
      </c>
      <c r="D1593" t="s">
        <v>19</v>
      </c>
    </row>
    <row r="1594" spans="1:4" x14ac:dyDescent="0.25">
      <c r="A1594" t="str">
        <f>"31255"</f>
        <v>31255</v>
      </c>
      <c r="B1594" t="s">
        <v>1822</v>
      </c>
      <c r="C1594" t="s">
        <v>280</v>
      </c>
      <c r="D1594" t="s">
        <v>73</v>
      </c>
    </row>
    <row r="1595" spans="1:4" x14ac:dyDescent="0.25">
      <c r="A1595" t="str">
        <f>"31257"</f>
        <v>31257</v>
      </c>
      <c r="B1595" t="s">
        <v>1823</v>
      </c>
      <c r="C1595" t="s">
        <v>1040</v>
      </c>
      <c r="D1595" t="s">
        <v>73</v>
      </c>
    </row>
    <row r="1596" spans="1:4" x14ac:dyDescent="0.25">
      <c r="A1596" t="str">
        <f>"31258"</f>
        <v>31258</v>
      </c>
      <c r="B1596" t="s">
        <v>1824</v>
      </c>
      <c r="C1596" t="s">
        <v>280</v>
      </c>
      <c r="D1596" t="s">
        <v>73</v>
      </c>
    </row>
    <row r="1597" spans="1:4" x14ac:dyDescent="0.25">
      <c r="A1597" t="str">
        <f>"31259"</f>
        <v>31259</v>
      </c>
      <c r="B1597" t="s">
        <v>1825</v>
      </c>
      <c r="C1597" t="s">
        <v>1040</v>
      </c>
      <c r="D1597" t="s">
        <v>73</v>
      </c>
    </row>
    <row r="1598" spans="1:4" x14ac:dyDescent="0.25">
      <c r="A1598" t="str">
        <f>"31260"</f>
        <v>31260</v>
      </c>
      <c r="B1598" t="s">
        <v>1826</v>
      </c>
      <c r="C1598" t="s">
        <v>1040</v>
      </c>
      <c r="D1598" t="s">
        <v>73</v>
      </c>
    </row>
    <row r="1599" spans="1:4" x14ac:dyDescent="0.25">
      <c r="A1599" t="str">
        <f>"31261"</f>
        <v>31261</v>
      </c>
      <c r="B1599" t="s">
        <v>1827</v>
      </c>
      <c r="C1599" t="s">
        <v>1547</v>
      </c>
      <c r="D1599" t="s">
        <v>6</v>
      </c>
    </row>
    <row r="1600" spans="1:4" x14ac:dyDescent="0.25">
      <c r="A1600" t="str">
        <f>"31262"</f>
        <v>31262</v>
      </c>
      <c r="B1600" t="s">
        <v>1828</v>
      </c>
      <c r="C1600" t="s">
        <v>1040</v>
      </c>
      <c r="D1600" t="s">
        <v>73</v>
      </c>
    </row>
    <row r="1601" spans="1:4" x14ac:dyDescent="0.25">
      <c r="A1601" t="str">
        <f>"31263"</f>
        <v>31263</v>
      </c>
      <c r="B1601" t="s">
        <v>1829</v>
      </c>
      <c r="C1601" t="s">
        <v>1040</v>
      </c>
      <c r="D1601" t="s">
        <v>73</v>
      </c>
    </row>
    <row r="1602" spans="1:4" x14ac:dyDescent="0.25">
      <c r="A1602" t="str">
        <f>"31264"</f>
        <v>31264</v>
      </c>
      <c r="B1602" t="s">
        <v>1830</v>
      </c>
      <c r="C1602" t="s">
        <v>1547</v>
      </c>
      <c r="D1602" t="s">
        <v>19</v>
      </c>
    </row>
    <row r="1603" spans="1:4" x14ac:dyDescent="0.25">
      <c r="A1603" t="str">
        <f>"31265"</f>
        <v>31265</v>
      </c>
      <c r="B1603" t="s">
        <v>1831</v>
      </c>
      <c r="C1603" t="s">
        <v>280</v>
      </c>
      <c r="D1603" t="s">
        <v>469</v>
      </c>
    </row>
    <row r="1604" spans="1:4" x14ac:dyDescent="0.25">
      <c r="A1604" t="str">
        <f>"31266"</f>
        <v>31266</v>
      </c>
      <c r="B1604" t="s">
        <v>1832</v>
      </c>
      <c r="C1604" t="s">
        <v>280</v>
      </c>
      <c r="D1604" t="s">
        <v>469</v>
      </c>
    </row>
    <row r="1605" spans="1:4" x14ac:dyDescent="0.25">
      <c r="A1605" t="str">
        <f>"31267"</f>
        <v>31267</v>
      </c>
      <c r="B1605" t="s">
        <v>1833</v>
      </c>
      <c r="C1605" t="s">
        <v>280</v>
      </c>
      <c r="D1605" t="s">
        <v>469</v>
      </c>
    </row>
    <row r="1606" spans="1:4" x14ac:dyDescent="0.25">
      <c r="A1606" t="str">
        <f>"31268"</f>
        <v>31268</v>
      </c>
      <c r="B1606" t="s">
        <v>1834</v>
      </c>
      <c r="C1606" t="s">
        <v>280</v>
      </c>
      <c r="D1606" t="s">
        <v>149</v>
      </c>
    </row>
    <row r="1607" spans="1:4" x14ac:dyDescent="0.25">
      <c r="A1607" t="str">
        <f>"31271"</f>
        <v>31271</v>
      </c>
      <c r="B1607" t="s">
        <v>1835</v>
      </c>
      <c r="C1607" t="s">
        <v>280</v>
      </c>
      <c r="D1607" t="s">
        <v>149</v>
      </c>
    </row>
    <row r="1608" spans="1:4" x14ac:dyDescent="0.25">
      <c r="A1608" t="str">
        <f>"31272"</f>
        <v>31272</v>
      </c>
      <c r="B1608" t="s">
        <v>1836</v>
      </c>
      <c r="C1608" t="s">
        <v>1040</v>
      </c>
      <c r="D1608" t="s">
        <v>73</v>
      </c>
    </row>
    <row r="1609" spans="1:4" x14ac:dyDescent="0.25">
      <c r="A1609" t="str">
        <f>"31273"</f>
        <v>31273</v>
      </c>
      <c r="B1609" t="s">
        <v>1837</v>
      </c>
      <c r="C1609" t="s">
        <v>280</v>
      </c>
      <c r="D1609" t="s">
        <v>149</v>
      </c>
    </row>
    <row r="1610" spans="1:4" x14ac:dyDescent="0.25">
      <c r="A1610" t="str">
        <f>"31274"</f>
        <v>31274</v>
      </c>
      <c r="B1610" t="s">
        <v>1838</v>
      </c>
      <c r="C1610" t="s">
        <v>1040</v>
      </c>
      <c r="D1610" t="s">
        <v>379</v>
      </c>
    </row>
    <row r="1611" spans="1:4" x14ac:dyDescent="0.25">
      <c r="A1611" t="str">
        <f>"31275"</f>
        <v>31275</v>
      </c>
      <c r="B1611" t="s">
        <v>1839</v>
      </c>
      <c r="C1611" t="s">
        <v>280</v>
      </c>
      <c r="D1611" t="s">
        <v>73</v>
      </c>
    </row>
    <row r="1612" spans="1:4" x14ac:dyDescent="0.25">
      <c r="A1612" t="str">
        <f>"31276"</f>
        <v>31276</v>
      </c>
      <c r="B1612" t="s">
        <v>1840</v>
      </c>
      <c r="C1612" t="s">
        <v>280</v>
      </c>
      <c r="D1612" t="s">
        <v>73</v>
      </c>
    </row>
    <row r="1613" spans="1:4" x14ac:dyDescent="0.25">
      <c r="A1613" t="str">
        <f>"31277"</f>
        <v>31277</v>
      </c>
      <c r="B1613" t="s">
        <v>1841</v>
      </c>
      <c r="C1613" t="s">
        <v>280</v>
      </c>
      <c r="D1613" t="s">
        <v>73</v>
      </c>
    </row>
    <row r="1614" spans="1:4" x14ac:dyDescent="0.25">
      <c r="A1614" t="str">
        <f>"31278"</f>
        <v>31278</v>
      </c>
      <c r="B1614" t="s">
        <v>1842</v>
      </c>
      <c r="C1614" t="s">
        <v>280</v>
      </c>
      <c r="D1614" t="s">
        <v>73</v>
      </c>
    </row>
    <row r="1615" spans="1:4" x14ac:dyDescent="0.25">
      <c r="A1615" t="str">
        <f>"31279"</f>
        <v>31279</v>
      </c>
      <c r="B1615" t="s">
        <v>1843</v>
      </c>
      <c r="C1615" t="s">
        <v>280</v>
      </c>
      <c r="D1615" t="s">
        <v>73</v>
      </c>
    </row>
    <row r="1616" spans="1:4" x14ac:dyDescent="0.25">
      <c r="A1616" t="str">
        <f>"31280"</f>
        <v>31280</v>
      </c>
      <c r="B1616" t="s">
        <v>1844</v>
      </c>
      <c r="C1616" t="s">
        <v>280</v>
      </c>
      <c r="D1616" t="s">
        <v>73</v>
      </c>
    </row>
    <row r="1617" spans="1:4" x14ac:dyDescent="0.25">
      <c r="A1617" t="str">
        <f>"31281"</f>
        <v>31281</v>
      </c>
      <c r="B1617" t="s">
        <v>1845</v>
      </c>
      <c r="C1617" t="s">
        <v>280</v>
      </c>
      <c r="D1617" t="s">
        <v>73</v>
      </c>
    </row>
    <row r="1618" spans="1:4" x14ac:dyDescent="0.25">
      <c r="A1618" t="str">
        <f>"31282"</f>
        <v>31282</v>
      </c>
      <c r="B1618" t="s">
        <v>1846</v>
      </c>
      <c r="C1618" t="s">
        <v>280</v>
      </c>
      <c r="D1618" t="s">
        <v>73</v>
      </c>
    </row>
    <row r="1619" spans="1:4" x14ac:dyDescent="0.25">
      <c r="A1619" t="str">
        <f>"31283"</f>
        <v>31283</v>
      </c>
      <c r="B1619" t="s">
        <v>1847</v>
      </c>
      <c r="C1619" t="s">
        <v>280</v>
      </c>
      <c r="D1619" t="s">
        <v>469</v>
      </c>
    </row>
    <row r="1620" spans="1:4" x14ac:dyDescent="0.25">
      <c r="A1620" t="str">
        <f>"31284"</f>
        <v>31284</v>
      </c>
      <c r="B1620" t="s">
        <v>1848</v>
      </c>
      <c r="C1620" t="s">
        <v>280</v>
      </c>
      <c r="D1620" t="s">
        <v>469</v>
      </c>
    </row>
    <row r="1621" spans="1:4" x14ac:dyDescent="0.25">
      <c r="A1621" t="str">
        <f>"31285"</f>
        <v>31285</v>
      </c>
      <c r="B1621" t="s">
        <v>1849</v>
      </c>
      <c r="C1621" t="s">
        <v>1040</v>
      </c>
      <c r="D1621" t="s">
        <v>149</v>
      </c>
    </row>
    <row r="1622" spans="1:4" x14ac:dyDescent="0.25">
      <c r="A1622" t="str">
        <f>"31286"</f>
        <v>31286</v>
      </c>
      <c r="B1622" t="s">
        <v>1850</v>
      </c>
      <c r="C1622" t="s">
        <v>1040</v>
      </c>
      <c r="D1622" t="s">
        <v>73</v>
      </c>
    </row>
    <row r="1623" spans="1:4" x14ac:dyDescent="0.25">
      <c r="A1623" t="str">
        <f>"31287"</f>
        <v>31287</v>
      </c>
      <c r="B1623" t="s">
        <v>1851</v>
      </c>
      <c r="C1623" t="s">
        <v>280</v>
      </c>
      <c r="D1623" t="s">
        <v>73</v>
      </c>
    </row>
    <row r="1624" spans="1:4" x14ac:dyDescent="0.25">
      <c r="A1624" t="str">
        <f>"31288"</f>
        <v>31288</v>
      </c>
      <c r="B1624" t="s">
        <v>1852</v>
      </c>
      <c r="C1624" t="s">
        <v>280</v>
      </c>
      <c r="D1624" t="s">
        <v>73</v>
      </c>
    </row>
    <row r="1625" spans="1:4" x14ac:dyDescent="0.25">
      <c r="A1625" t="str">
        <f>"31289"</f>
        <v>31289</v>
      </c>
      <c r="B1625" t="s">
        <v>1853</v>
      </c>
      <c r="C1625" t="s">
        <v>280</v>
      </c>
      <c r="D1625" t="s">
        <v>149</v>
      </c>
    </row>
    <row r="1626" spans="1:4" x14ac:dyDescent="0.25">
      <c r="A1626" t="str">
        <f>"31290"</f>
        <v>31290</v>
      </c>
      <c r="B1626" t="s">
        <v>1854</v>
      </c>
      <c r="C1626" t="s">
        <v>280</v>
      </c>
      <c r="D1626" t="s">
        <v>73</v>
      </c>
    </row>
    <row r="1627" spans="1:4" x14ac:dyDescent="0.25">
      <c r="A1627" t="str">
        <f>"31291"</f>
        <v>31291</v>
      </c>
      <c r="B1627" t="s">
        <v>1855</v>
      </c>
      <c r="C1627" t="s">
        <v>280</v>
      </c>
      <c r="D1627" t="s">
        <v>73</v>
      </c>
    </row>
    <row r="1628" spans="1:4" x14ac:dyDescent="0.25">
      <c r="A1628" t="str">
        <f>"31292"</f>
        <v>31292</v>
      </c>
      <c r="B1628" t="s">
        <v>1856</v>
      </c>
      <c r="C1628" t="s">
        <v>280</v>
      </c>
      <c r="D1628" t="s">
        <v>73</v>
      </c>
    </row>
    <row r="1629" spans="1:4" x14ac:dyDescent="0.25">
      <c r="A1629" t="str">
        <f>"31293"</f>
        <v>31293</v>
      </c>
      <c r="B1629" t="s">
        <v>1857</v>
      </c>
      <c r="C1629" t="s">
        <v>280</v>
      </c>
      <c r="D1629" t="s">
        <v>73</v>
      </c>
    </row>
    <row r="1630" spans="1:4" x14ac:dyDescent="0.25">
      <c r="A1630" t="str">
        <f>"31294"</f>
        <v>31294</v>
      </c>
      <c r="B1630" t="s">
        <v>1858</v>
      </c>
      <c r="C1630" t="s">
        <v>280</v>
      </c>
      <c r="D1630" t="s">
        <v>73</v>
      </c>
    </row>
    <row r="1631" spans="1:4" x14ac:dyDescent="0.25">
      <c r="A1631" t="str">
        <f>"31295"</f>
        <v>31295</v>
      </c>
      <c r="B1631" t="s">
        <v>1859</v>
      </c>
      <c r="C1631" t="s">
        <v>280</v>
      </c>
      <c r="D1631" t="s">
        <v>73</v>
      </c>
    </row>
    <row r="1632" spans="1:4" x14ac:dyDescent="0.25">
      <c r="A1632" t="str">
        <f>"31296"</f>
        <v>31296</v>
      </c>
      <c r="B1632" t="s">
        <v>1860</v>
      </c>
      <c r="C1632" t="s">
        <v>280</v>
      </c>
      <c r="D1632" t="s">
        <v>73</v>
      </c>
    </row>
    <row r="1633" spans="1:4" x14ac:dyDescent="0.25">
      <c r="A1633" t="str">
        <f>"31297"</f>
        <v>31297</v>
      </c>
      <c r="B1633" t="s">
        <v>1861</v>
      </c>
      <c r="C1633" t="s">
        <v>280</v>
      </c>
      <c r="D1633" t="s">
        <v>73</v>
      </c>
    </row>
    <row r="1634" spans="1:4" x14ac:dyDescent="0.25">
      <c r="A1634" t="str">
        <f>"31298"</f>
        <v>31298</v>
      </c>
      <c r="B1634" t="s">
        <v>1862</v>
      </c>
      <c r="C1634" t="s">
        <v>280</v>
      </c>
      <c r="D1634" t="s">
        <v>73</v>
      </c>
    </row>
    <row r="1635" spans="1:4" x14ac:dyDescent="0.25">
      <c r="A1635" t="str">
        <f>"31299"</f>
        <v>31299</v>
      </c>
      <c r="B1635" t="s">
        <v>1863</v>
      </c>
      <c r="C1635" t="s">
        <v>280</v>
      </c>
      <c r="D1635" t="s">
        <v>73</v>
      </c>
    </row>
    <row r="1636" spans="1:4" x14ac:dyDescent="0.25">
      <c r="A1636" t="str">
        <f>"31300"</f>
        <v>31300</v>
      </c>
      <c r="B1636" t="s">
        <v>1864</v>
      </c>
      <c r="C1636" t="s">
        <v>280</v>
      </c>
      <c r="D1636" t="s">
        <v>73</v>
      </c>
    </row>
    <row r="1637" spans="1:4" x14ac:dyDescent="0.25">
      <c r="A1637" t="str">
        <f>"31301"</f>
        <v>31301</v>
      </c>
      <c r="B1637" t="s">
        <v>1865</v>
      </c>
      <c r="C1637" t="s">
        <v>280</v>
      </c>
      <c r="D1637" t="s">
        <v>73</v>
      </c>
    </row>
    <row r="1638" spans="1:4" x14ac:dyDescent="0.25">
      <c r="A1638" t="str">
        <f>"31302"</f>
        <v>31302</v>
      </c>
      <c r="B1638" t="s">
        <v>1866</v>
      </c>
      <c r="C1638" t="s">
        <v>280</v>
      </c>
      <c r="D1638" t="s">
        <v>73</v>
      </c>
    </row>
    <row r="1639" spans="1:4" x14ac:dyDescent="0.25">
      <c r="A1639" t="str">
        <f>"31303"</f>
        <v>31303</v>
      </c>
      <c r="B1639" t="s">
        <v>1867</v>
      </c>
      <c r="C1639" t="s">
        <v>280</v>
      </c>
      <c r="D1639" t="s">
        <v>73</v>
      </c>
    </row>
    <row r="1640" spans="1:4" x14ac:dyDescent="0.25">
      <c r="A1640" t="str">
        <f>"31304"</f>
        <v>31304</v>
      </c>
      <c r="B1640" t="s">
        <v>1868</v>
      </c>
      <c r="C1640" t="s">
        <v>1040</v>
      </c>
      <c r="D1640" t="s">
        <v>149</v>
      </c>
    </row>
    <row r="1641" spans="1:4" x14ac:dyDescent="0.25">
      <c r="A1641" t="str">
        <f>"31305"</f>
        <v>31305</v>
      </c>
      <c r="B1641" t="s">
        <v>1869</v>
      </c>
      <c r="C1641" t="s">
        <v>280</v>
      </c>
      <c r="D1641" t="s">
        <v>149</v>
      </c>
    </row>
    <row r="1642" spans="1:4" x14ac:dyDescent="0.25">
      <c r="A1642" t="str">
        <f>"31306"</f>
        <v>31306</v>
      </c>
      <c r="B1642" t="s">
        <v>1870</v>
      </c>
      <c r="C1642" t="s">
        <v>280</v>
      </c>
      <c r="D1642" t="s">
        <v>73</v>
      </c>
    </row>
    <row r="1643" spans="1:4" x14ac:dyDescent="0.25">
      <c r="A1643" t="str">
        <f>"31307"</f>
        <v>31307</v>
      </c>
      <c r="B1643" t="s">
        <v>1871</v>
      </c>
      <c r="C1643" t="s">
        <v>280</v>
      </c>
      <c r="D1643" t="s">
        <v>149</v>
      </c>
    </row>
    <row r="1644" spans="1:4" x14ac:dyDescent="0.25">
      <c r="A1644" t="str">
        <f>"31308"</f>
        <v>31308</v>
      </c>
      <c r="B1644" t="s">
        <v>1872</v>
      </c>
      <c r="C1644" t="s">
        <v>280</v>
      </c>
      <c r="D1644" t="s">
        <v>73</v>
      </c>
    </row>
    <row r="1645" spans="1:4" x14ac:dyDescent="0.25">
      <c r="A1645" t="str">
        <f>"31309"</f>
        <v>31309</v>
      </c>
      <c r="B1645" t="s">
        <v>1873</v>
      </c>
      <c r="C1645" t="s">
        <v>280</v>
      </c>
      <c r="D1645" t="s">
        <v>73</v>
      </c>
    </row>
    <row r="1646" spans="1:4" x14ac:dyDescent="0.25">
      <c r="A1646" t="str">
        <f>"31310"</f>
        <v>31310</v>
      </c>
      <c r="B1646" t="s">
        <v>1874</v>
      </c>
      <c r="C1646" t="s">
        <v>280</v>
      </c>
      <c r="D1646" t="s">
        <v>149</v>
      </c>
    </row>
    <row r="1647" spans="1:4" x14ac:dyDescent="0.25">
      <c r="A1647" t="str">
        <f>"31311"</f>
        <v>31311</v>
      </c>
      <c r="B1647" t="s">
        <v>1875</v>
      </c>
      <c r="C1647" t="s">
        <v>280</v>
      </c>
      <c r="D1647" t="s">
        <v>73</v>
      </c>
    </row>
    <row r="1648" spans="1:4" x14ac:dyDescent="0.25">
      <c r="A1648" t="str">
        <f>"31312"</f>
        <v>31312</v>
      </c>
      <c r="B1648" t="s">
        <v>1876</v>
      </c>
      <c r="C1648" t="s">
        <v>280</v>
      </c>
      <c r="D1648" t="s">
        <v>73</v>
      </c>
    </row>
    <row r="1649" spans="1:4" x14ac:dyDescent="0.25">
      <c r="A1649" t="str">
        <f>"31313"</f>
        <v>31313</v>
      </c>
      <c r="B1649" t="s">
        <v>1877</v>
      </c>
      <c r="C1649" t="s">
        <v>280</v>
      </c>
      <c r="D1649" t="s">
        <v>61</v>
      </c>
    </row>
    <row r="1650" spans="1:4" x14ac:dyDescent="0.25">
      <c r="A1650" t="str">
        <f>"31314"</f>
        <v>31314</v>
      </c>
      <c r="B1650" t="s">
        <v>1878</v>
      </c>
      <c r="C1650" t="s">
        <v>280</v>
      </c>
      <c r="D1650" t="s">
        <v>73</v>
      </c>
    </row>
    <row r="1651" spans="1:4" x14ac:dyDescent="0.25">
      <c r="A1651" t="str">
        <f>"31316"</f>
        <v>31316</v>
      </c>
      <c r="B1651" t="s">
        <v>1879</v>
      </c>
      <c r="C1651" t="s">
        <v>280</v>
      </c>
      <c r="D1651" t="s">
        <v>73</v>
      </c>
    </row>
    <row r="1652" spans="1:4" x14ac:dyDescent="0.25">
      <c r="A1652" t="str">
        <f>"31317"</f>
        <v>31317</v>
      </c>
      <c r="B1652" t="s">
        <v>1880</v>
      </c>
      <c r="C1652" t="s">
        <v>280</v>
      </c>
      <c r="D1652" t="s">
        <v>73</v>
      </c>
    </row>
    <row r="1653" spans="1:4" x14ac:dyDescent="0.25">
      <c r="A1653" t="str">
        <f>"31318"</f>
        <v>31318</v>
      </c>
      <c r="B1653" t="s">
        <v>1881</v>
      </c>
      <c r="C1653" t="s">
        <v>280</v>
      </c>
      <c r="D1653" t="s">
        <v>73</v>
      </c>
    </row>
    <row r="1654" spans="1:4" x14ac:dyDescent="0.25">
      <c r="A1654" t="str">
        <f>"31319"</f>
        <v>31319</v>
      </c>
      <c r="B1654" t="s">
        <v>1882</v>
      </c>
      <c r="C1654" t="s">
        <v>1040</v>
      </c>
      <c r="D1654" t="s">
        <v>99</v>
      </c>
    </row>
    <row r="1655" spans="1:4" x14ac:dyDescent="0.25">
      <c r="A1655" t="str">
        <f>"31320"</f>
        <v>31320</v>
      </c>
      <c r="B1655" t="s">
        <v>1883</v>
      </c>
      <c r="C1655" t="s">
        <v>280</v>
      </c>
      <c r="D1655" t="s">
        <v>73</v>
      </c>
    </row>
    <row r="1656" spans="1:4" x14ac:dyDescent="0.25">
      <c r="A1656" t="str">
        <f>"31321"</f>
        <v>31321</v>
      </c>
      <c r="B1656" t="s">
        <v>1884</v>
      </c>
      <c r="C1656" t="s">
        <v>280</v>
      </c>
      <c r="D1656" t="s">
        <v>73</v>
      </c>
    </row>
    <row r="1657" spans="1:4" x14ac:dyDescent="0.25">
      <c r="A1657" t="str">
        <f>"31322"</f>
        <v>31322</v>
      </c>
      <c r="B1657" t="s">
        <v>1885</v>
      </c>
      <c r="C1657" t="s">
        <v>280</v>
      </c>
      <c r="D1657" t="s">
        <v>73</v>
      </c>
    </row>
    <row r="1658" spans="1:4" x14ac:dyDescent="0.25">
      <c r="A1658" t="str">
        <f>"31323"</f>
        <v>31323</v>
      </c>
      <c r="B1658" t="s">
        <v>1886</v>
      </c>
      <c r="C1658" t="s">
        <v>280</v>
      </c>
      <c r="D1658" t="s">
        <v>73</v>
      </c>
    </row>
    <row r="1659" spans="1:4" x14ac:dyDescent="0.25">
      <c r="A1659" t="str">
        <f>"31324"</f>
        <v>31324</v>
      </c>
      <c r="B1659" t="s">
        <v>1887</v>
      </c>
      <c r="C1659" t="s">
        <v>280</v>
      </c>
      <c r="D1659" t="s">
        <v>73</v>
      </c>
    </row>
    <row r="1660" spans="1:4" x14ac:dyDescent="0.25">
      <c r="A1660" t="str">
        <f>"31325"</f>
        <v>31325</v>
      </c>
      <c r="B1660" t="s">
        <v>1888</v>
      </c>
      <c r="C1660" t="s">
        <v>280</v>
      </c>
      <c r="D1660" t="s">
        <v>149</v>
      </c>
    </row>
    <row r="1661" spans="1:4" x14ac:dyDescent="0.25">
      <c r="A1661" t="str">
        <f>"31326"</f>
        <v>31326</v>
      </c>
      <c r="B1661" t="s">
        <v>1889</v>
      </c>
      <c r="C1661" t="s">
        <v>280</v>
      </c>
      <c r="D1661" t="s">
        <v>149</v>
      </c>
    </row>
    <row r="1662" spans="1:4" x14ac:dyDescent="0.25">
      <c r="A1662" t="str">
        <f>"31327"</f>
        <v>31327</v>
      </c>
      <c r="B1662" t="s">
        <v>1890</v>
      </c>
      <c r="C1662" t="s">
        <v>280</v>
      </c>
      <c r="D1662" t="s">
        <v>149</v>
      </c>
    </row>
    <row r="1663" spans="1:4" x14ac:dyDescent="0.25">
      <c r="A1663" t="str">
        <f>"31328"</f>
        <v>31328</v>
      </c>
      <c r="B1663" t="s">
        <v>1891</v>
      </c>
      <c r="C1663" t="s">
        <v>280</v>
      </c>
      <c r="D1663" t="s">
        <v>149</v>
      </c>
    </row>
    <row r="1664" spans="1:4" x14ac:dyDescent="0.25">
      <c r="A1664" t="str">
        <f>"31329"</f>
        <v>31329</v>
      </c>
      <c r="B1664" t="s">
        <v>1892</v>
      </c>
      <c r="C1664" t="s">
        <v>280</v>
      </c>
      <c r="D1664" t="s">
        <v>149</v>
      </c>
    </row>
    <row r="1665" spans="1:4" x14ac:dyDescent="0.25">
      <c r="A1665" t="str">
        <f>"31330"</f>
        <v>31330</v>
      </c>
      <c r="B1665" t="s">
        <v>1893</v>
      </c>
      <c r="C1665" t="s">
        <v>280</v>
      </c>
      <c r="D1665" t="s">
        <v>149</v>
      </c>
    </row>
    <row r="1666" spans="1:4" x14ac:dyDescent="0.25">
      <c r="A1666" t="str">
        <f>"31331"</f>
        <v>31331</v>
      </c>
      <c r="B1666" t="s">
        <v>1894</v>
      </c>
      <c r="C1666" t="s">
        <v>280</v>
      </c>
      <c r="D1666" t="s">
        <v>149</v>
      </c>
    </row>
    <row r="1667" spans="1:4" x14ac:dyDescent="0.25">
      <c r="A1667" t="str">
        <f>"31332"</f>
        <v>31332</v>
      </c>
      <c r="B1667" t="s">
        <v>1895</v>
      </c>
      <c r="C1667" t="s">
        <v>280</v>
      </c>
      <c r="D1667" t="s">
        <v>149</v>
      </c>
    </row>
    <row r="1668" spans="1:4" x14ac:dyDescent="0.25">
      <c r="A1668" t="str">
        <f>"31333"</f>
        <v>31333</v>
      </c>
      <c r="B1668" t="s">
        <v>1896</v>
      </c>
      <c r="C1668" t="s">
        <v>280</v>
      </c>
      <c r="D1668" t="s">
        <v>149</v>
      </c>
    </row>
    <row r="1669" spans="1:4" x14ac:dyDescent="0.25">
      <c r="A1669" t="str">
        <f>"31334"</f>
        <v>31334</v>
      </c>
      <c r="B1669" t="s">
        <v>1897</v>
      </c>
      <c r="C1669" t="s">
        <v>280</v>
      </c>
      <c r="D1669" t="s">
        <v>149</v>
      </c>
    </row>
    <row r="1670" spans="1:4" x14ac:dyDescent="0.25">
      <c r="A1670" t="str">
        <f>"31335"</f>
        <v>31335</v>
      </c>
      <c r="B1670" t="s">
        <v>1898</v>
      </c>
      <c r="C1670" t="s">
        <v>280</v>
      </c>
      <c r="D1670" t="s">
        <v>149</v>
      </c>
    </row>
    <row r="1671" spans="1:4" x14ac:dyDescent="0.25">
      <c r="A1671" t="str">
        <f>"31336"</f>
        <v>31336</v>
      </c>
      <c r="B1671" t="s">
        <v>1899</v>
      </c>
      <c r="C1671" t="s">
        <v>1040</v>
      </c>
      <c r="D1671" t="s">
        <v>149</v>
      </c>
    </row>
    <row r="1672" spans="1:4" x14ac:dyDescent="0.25">
      <c r="A1672" t="str">
        <f>"31337"</f>
        <v>31337</v>
      </c>
      <c r="B1672" t="s">
        <v>1900</v>
      </c>
      <c r="C1672" t="s">
        <v>1040</v>
      </c>
      <c r="D1672" t="s">
        <v>73</v>
      </c>
    </row>
    <row r="1673" spans="1:4" x14ac:dyDescent="0.25">
      <c r="A1673" t="str">
        <f>"31338"</f>
        <v>31338</v>
      </c>
      <c r="B1673" t="s">
        <v>1901</v>
      </c>
      <c r="C1673" t="s">
        <v>280</v>
      </c>
      <c r="D1673" t="s">
        <v>73</v>
      </c>
    </row>
    <row r="1674" spans="1:4" x14ac:dyDescent="0.25">
      <c r="A1674" t="str">
        <f>"31339"</f>
        <v>31339</v>
      </c>
      <c r="B1674" t="s">
        <v>1902</v>
      </c>
      <c r="C1674" t="s">
        <v>280</v>
      </c>
      <c r="D1674" t="s">
        <v>149</v>
      </c>
    </row>
    <row r="1675" spans="1:4" x14ac:dyDescent="0.25">
      <c r="A1675" t="str">
        <f>"31340"</f>
        <v>31340</v>
      </c>
      <c r="B1675" t="s">
        <v>1903</v>
      </c>
      <c r="C1675" t="s">
        <v>280</v>
      </c>
      <c r="D1675" t="s">
        <v>149</v>
      </c>
    </row>
    <row r="1676" spans="1:4" x14ac:dyDescent="0.25">
      <c r="A1676" t="str">
        <f>"31341"</f>
        <v>31341</v>
      </c>
      <c r="B1676" t="s">
        <v>1904</v>
      </c>
      <c r="C1676" t="s">
        <v>280</v>
      </c>
      <c r="D1676" t="s">
        <v>149</v>
      </c>
    </row>
    <row r="1677" spans="1:4" x14ac:dyDescent="0.25">
      <c r="A1677" t="str">
        <f>"31342"</f>
        <v>31342</v>
      </c>
      <c r="B1677" t="s">
        <v>1905</v>
      </c>
      <c r="C1677" t="s">
        <v>280</v>
      </c>
      <c r="D1677" t="s">
        <v>73</v>
      </c>
    </row>
    <row r="1678" spans="1:4" x14ac:dyDescent="0.25">
      <c r="A1678" t="str">
        <f>"31343"</f>
        <v>31343</v>
      </c>
      <c r="B1678" t="s">
        <v>1906</v>
      </c>
      <c r="C1678" t="s">
        <v>280</v>
      </c>
      <c r="D1678" t="s">
        <v>149</v>
      </c>
    </row>
    <row r="1679" spans="1:4" x14ac:dyDescent="0.25">
      <c r="A1679" t="str">
        <f>"31344"</f>
        <v>31344</v>
      </c>
      <c r="B1679" t="s">
        <v>1907</v>
      </c>
      <c r="C1679" t="s">
        <v>280</v>
      </c>
      <c r="D1679" t="s">
        <v>149</v>
      </c>
    </row>
    <row r="1680" spans="1:4" x14ac:dyDescent="0.25">
      <c r="A1680" t="str">
        <f>"31345"</f>
        <v>31345</v>
      </c>
      <c r="B1680" t="s">
        <v>1908</v>
      </c>
      <c r="C1680" t="s">
        <v>280</v>
      </c>
      <c r="D1680" t="s">
        <v>149</v>
      </c>
    </row>
    <row r="1681" spans="1:4" x14ac:dyDescent="0.25">
      <c r="A1681" t="str">
        <f>"31346"</f>
        <v>31346</v>
      </c>
      <c r="B1681" t="s">
        <v>1909</v>
      </c>
      <c r="C1681" t="s">
        <v>280</v>
      </c>
      <c r="D1681" t="s">
        <v>149</v>
      </c>
    </row>
    <row r="1682" spans="1:4" x14ac:dyDescent="0.25">
      <c r="A1682" t="str">
        <f>"31347"</f>
        <v>31347</v>
      </c>
      <c r="B1682" t="s">
        <v>1910</v>
      </c>
      <c r="C1682" t="s">
        <v>280</v>
      </c>
      <c r="D1682" t="s">
        <v>149</v>
      </c>
    </row>
    <row r="1683" spans="1:4" x14ac:dyDescent="0.25">
      <c r="A1683" t="str">
        <f>"31348"</f>
        <v>31348</v>
      </c>
      <c r="B1683" t="s">
        <v>1911</v>
      </c>
      <c r="C1683" t="s">
        <v>280</v>
      </c>
      <c r="D1683" t="s">
        <v>149</v>
      </c>
    </row>
    <row r="1684" spans="1:4" x14ac:dyDescent="0.25">
      <c r="A1684" t="str">
        <f>"31349"</f>
        <v>31349</v>
      </c>
      <c r="B1684" t="s">
        <v>1912</v>
      </c>
      <c r="C1684" t="s">
        <v>280</v>
      </c>
      <c r="D1684" t="s">
        <v>149</v>
      </c>
    </row>
    <row r="1685" spans="1:4" x14ac:dyDescent="0.25">
      <c r="A1685" t="str">
        <f>"31350"</f>
        <v>31350</v>
      </c>
      <c r="B1685" t="s">
        <v>1913</v>
      </c>
      <c r="C1685" t="s">
        <v>280</v>
      </c>
      <c r="D1685" t="s">
        <v>149</v>
      </c>
    </row>
    <row r="1686" spans="1:4" x14ac:dyDescent="0.25">
      <c r="A1686" t="str">
        <f>"31351"</f>
        <v>31351</v>
      </c>
      <c r="B1686" t="s">
        <v>1914</v>
      </c>
      <c r="C1686" t="s">
        <v>280</v>
      </c>
      <c r="D1686" t="s">
        <v>97</v>
      </c>
    </row>
    <row r="1687" spans="1:4" x14ac:dyDescent="0.25">
      <c r="A1687" t="str">
        <f>"31352"</f>
        <v>31352</v>
      </c>
      <c r="B1687" t="s">
        <v>1915</v>
      </c>
      <c r="C1687" t="s">
        <v>280</v>
      </c>
      <c r="D1687" t="s">
        <v>73</v>
      </c>
    </row>
    <row r="1688" spans="1:4" x14ac:dyDescent="0.25">
      <c r="A1688" t="str">
        <f>"31353"</f>
        <v>31353</v>
      </c>
      <c r="B1688" t="s">
        <v>1916</v>
      </c>
      <c r="C1688" t="s">
        <v>1040</v>
      </c>
      <c r="D1688" t="s">
        <v>73</v>
      </c>
    </row>
    <row r="1689" spans="1:4" x14ac:dyDescent="0.25">
      <c r="A1689" t="str">
        <f>"31354"</f>
        <v>31354</v>
      </c>
      <c r="B1689" t="s">
        <v>1917</v>
      </c>
      <c r="C1689" t="s">
        <v>1040</v>
      </c>
      <c r="D1689" t="s">
        <v>149</v>
      </c>
    </row>
    <row r="1690" spans="1:4" x14ac:dyDescent="0.25">
      <c r="A1690" t="str">
        <f>"31355"</f>
        <v>31355</v>
      </c>
      <c r="B1690" t="s">
        <v>1918</v>
      </c>
      <c r="C1690" t="s">
        <v>280</v>
      </c>
      <c r="D1690" t="s">
        <v>73</v>
      </c>
    </row>
    <row r="1691" spans="1:4" x14ac:dyDescent="0.25">
      <c r="A1691" t="str">
        <f>"31356"</f>
        <v>31356</v>
      </c>
      <c r="B1691" t="s">
        <v>1919</v>
      </c>
      <c r="C1691" t="s">
        <v>1547</v>
      </c>
      <c r="D1691" t="s">
        <v>122</v>
      </c>
    </row>
    <row r="1692" spans="1:4" x14ac:dyDescent="0.25">
      <c r="A1692" t="str">
        <f>"31358"</f>
        <v>31358</v>
      </c>
      <c r="B1692" t="s">
        <v>1920</v>
      </c>
      <c r="C1692" t="s">
        <v>280</v>
      </c>
      <c r="D1692" t="s">
        <v>73</v>
      </c>
    </row>
    <row r="1693" spans="1:4" x14ac:dyDescent="0.25">
      <c r="A1693" t="str">
        <f>"31359"</f>
        <v>31359</v>
      </c>
      <c r="B1693" t="s">
        <v>1921</v>
      </c>
      <c r="C1693" t="s">
        <v>280</v>
      </c>
      <c r="D1693" t="s">
        <v>149</v>
      </c>
    </row>
    <row r="1694" spans="1:4" x14ac:dyDescent="0.25">
      <c r="A1694" t="str">
        <f>"31360"</f>
        <v>31360</v>
      </c>
      <c r="B1694" t="s">
        <v>1922</v>
      </c>
      <c r="C1694" t="s">
        <v>1040</v>
      </c>
      <c r="D1694" t="s">
        <v>73</v>
      </c>
    </row>
    <row r="1695" spans="1:4" x14ac:dyDescent="0.25">
      <c r="A1695" t="str">
        <f>"31361"</f>
        <v>31361</v>
      </c>
      <c r="B1695" t="s">
        <v>1923</v>
      </c>
      <c r="C1695" t="s">
        <v>1040</v>
      </c>
      <c r="D1695" t="s">
        <v>149</v>
      </c>
    </row>
    <row r="1696" spans="1:4" x14ac:dyDescent="0.25">
      <c r="A1696" t="str">
        <f>"31362"</f>
        <v>31362</v>
      </c>
      <c r="B1696" t="s">
        <v>1924</v>
      </c>
      <c r="C1696" t="s">
        <v>1040</v>
      </c>
      <c r="D1696" t="s">
        <v>73</v>
      </c>
    </row>
    <row r="1697" spans="1:4" x14ac:dyDescent="0.25">
      <c r="A1697" t="str">
        <f>"31363"</f>
        <v>31363</v>
      </c>
      <c r="B1697" t="s">
        <v>1925</v>
      </c>
      <c r="C1697" t="s">
        <v>1040</v>
      </c>
      <c r="D1697" t="s">
        <v>73</v>
      </c>
    </row>
    <row r="1698" spans="1:4" x14ac:dyDescent="0.25">
      <c r="A1698" t="str">
        <f>"31364"</f>
        <v>31364</v>
      </c>
      <c r="B1698" t="s">
        <v>1926</v>
      </c>
      <c r="C1698" t="s">
        <v>280</v>
      </c>
      <c r="D1698" t="s">
        <v>97</v>
      </c>
    </row>
    <row r="1699" spans="1:4" x14ac:dyDescent="0.25">
      <c r="A1699" t="str">
        <f>"31365"</f>
        <v>31365</v>
      </c>
      <c r="B1699" t="s">
        <v>1927</v>
      </c>
      <c r="C1699" t="s">
        <v>280</v>
      </c>
      <c r="D1699" t="s">
        <v>149</v>
      </c>
    </row>
    <row r="1700" spans="1:4" x14ac:dyDescent="0.25">
      <c r="A1700" t="str">
        <f>"31366"</f>
        <v>31366</v>
      </c>
      <c r="B1700" t="s">
        <v>1928</v>
      </c>
      <c r="C1700" t="s">
        <v>280</v>
      </c>
      <c r="D1700" t="s">
        <v>73</v>
      </c>
    </row>
    <row r="1701" spans="1:4" x14ac:dyDescent="0.25">
      <c r="A1701" t="str">
        <f>"31367"</f>
        <v>31367</v>
      </c>
      <c r="B1701" t="s">
        <v>1929</v>
      </c>
      <c r="C1701" t="s">
        <v>280</v>
      </c>
      <c r="D1701" t="s">
        <v>73</v>
      </c>
    </row>
    <row r="1702" spans="1:4" x14ac:dyDescent="0.25">
      <c r="A1702" t="str">
        <f>"31368"</f>
        <v>31368</v>
      </c>
      <c r="B1702" t="s">
        <v>1930</v>
      </c>
      <c r="C1702" t="s">
        <v>1040</v>
      </c>
      <c r="D1702" t="s">
        <v>149</v>
      </c>
    </row>
    <row r="1703" spans="1:4" x14ac:dyDescent="0.25">
      <c r="A1703" t="str">
        <f>"31369"</f>
        <v>31369</v>
      </c>
      <c r="B1703" t="s">
        <v>1931</v>
      </c>
      <c r="C1703" t="s">
        <v>280</v>
      </c>
      <c r="D1703" t="s">
        <v>149</v>
      </c>
    </row>
    <row r="1704" spans="1:4" x14ac:dyDescent="0.25">
      <c r="A1704" t="str">
        <f>"31370"</f>
        <v>31370</v>
      </c>
      <c r="B1704" t="s">
        <v>1932</v>
      </c>
      <c r="C1704" t="s">
        <v>280</v>
      </c>
      <c r="D1704" t="s">
        <v>149</v>
      </c>
    </row>
    <row r="1705" spans="1:4" x14ac:dyDescent="0.25">
      <c r="A1705" t="str">
        <f>"31371"</f>
        <v>31371</v>
      </c>
      <c r="B1705" t="s">
        <v>1933</v>
      </c>
      <c r="C1705" t="s">
        <v>280</v>
      </c>
      <c r="D1705" t="s">
        <v>149</v>
      </c>
    </row>
    <row r="1706" spans="1:4" x14ac:dyDescent="0.25">
      <c r="A1706" t="str">
        <f>"31372"</f>
        <v>31372</v>
      </c>
      <c r="B1706" t="s">
        <v>1934</v>
      </c>
      <c r="C1706" t="s">
        <v>280</v>
      </c>
      <c r="D1706" t="s">
        <v>149</v>
      </c>
    </row>
    <row r="1707" spans="1:4" x14ac:dyDescent="0.25">
      <c r="A1707" t="str">
        <f>"31373"</f>
        <v>31373</v>
      </c>
      <c r="B1707" t="s">
        <v>1935</v>
      </c>
      <c r="C1707" t="s">
        <v>280</v>
      </c>
      <c r="D1707" t="s">
        <v>97</v>
      </c>
    </row>
    <row r="1708" spans="1:4" x14ac:dyDescent="0.25">
      <c r="A1708" t="str">
        <f>"31374"</f>
        <v>31374</v>
      </c>
      <c r="B1708" t="s">
        <v>1936</v>
      </c>
      <c r="C1708" t="s">
        <v>280</v>
      </c>
      <c r="D1708" t="s">
        <v>73</v>
      </c>
    </row>
    <row r="1709" spans="1:4" x14ac:dyDescent="0.25">
      <c r="A1709" t="str">
        <f>"31375"</f>
        <v>31375</v>
      </c>
      <c r="B1709" t="s">
        <v>1937</v>
      </c>
      <c r="C1709" t="s">
        <v>1040</v>
      </c>
      <c r="D1709" t="s">
        <v>379</v>
      </c>
    </row>
    <row r="1710" spans="1:4" x14ac:dyDescent="0.25">
      <c r="A1710" t="str">
        <f>"31377"</f>
        <v>31377</v>
      </c>
      <c r="B1710" t="s">
        <v>1938</v>
      </c>
      <c r="C1710" t="s">
        <v>1040</v>
      </c>
      <c r="D1710" t="s">
        <v>19</v>
      </c>
    </row>
    <row r="1711" spans="1:4" x14ac:dyDescent="0.25">
      <c r="A1711" t="str">
        <f>"31378"</f>
        <v>31378</v>
      </c>
      <c r="B1711" t="s">
        <v>1939</v>
      </c>
      <c r="C1711" t="s">
        <v>1040</v>
      </c>
      <c r="D1711" t="s">
        <v>149</v>
      </c>
    </row>
    <row r="1712" spans="1:4" x14ac:dyDescent="0.25">
      <c r="A1712" t="str">
        <f>"31379"</f>
        <v>31379</v>
      </c>
      <c r="B1712" t="s">
        <v>1940</v>
      </c>
      <c r="C1712" t="s">
        <v>280</v>
      </c>
      <c r="D1712" t="s">
        <v>149</v>
      </c>
    </row>
    <row r="1713" spans="1:4" x14ac:dyDescent="0.25">
      <c r="A1713" t="str">
        <f>"31380"</f>
        <v>31380</v>
      </c>
      <c r="B1713" t="s">
        <v>1941</v>
      </c>
      <c r="C1713" t="s">
        <v>280</v>
      </c>
      <c r="D1713" t="s">
        <v>149</v>
      </c>
    </row>
    <row r="1714" spans="1:4" x14ac:dyDescent="0.25">
      <c r="A1714" t="str">
        <f>"31381"</f>
        <v>31381</v>
      </c>
      <c r="B1714" t="s">
        <v>1942</v>
      </c>
      <c r="C1714" t="s">
        <v>280</v>
      </c>
      <c r="D1714" t="s">
        <v>73</v>
      </c>
    </row>
    <row r="1715" spans="1:4" x14ac:dyDescent="0.25">
      <c r="A1715" t="str">
        <f>"31382"</f>
        <v>31382</v>
      </c>
      <c r="B1715" t="s">
        <v>1943</v>
      </c>
      <c r="C1715" t="s">
        <v>280</v>
      </c>
      <c r="D1715" t="s">
        <v>469</v>
      </c>
    </row>
    <row r="1716" spans="1:4" x14ac:dyDescent="0.25">
      <c r="A1716" t="str">
        <f>"31383"</f>
        <v>31383</v>
      </c>
      <c r="B1716" t="s">
        <v>1944</v>
      </c>
      <c r="C1716" t="s">
        <v>280</v>
      </c>
      <c r="D1716" t="s">
        <v>149</v>
      </c>
    </row>
    <row r="1717" spans="1:4" x14ac:dyDescent="0.25">
      <c r="A1717" t="str">
        <f>"31384"</f>
        <v>31384</v>
      </c>
      <c r="B1717" t="s">
        <v>1945</v>
      </c>
      <c r="C1717" t="s">
        <v>280</v>
      </c>
      <c r="D1717" t="s">
        <v>149</v>
      </c>
    </row>
    <row r="1718" spans="1:4" x14ac:dyDescent="0.25">
      <c r="A1718" t="str">
        <f>"31385"</f>
        <v>31385</v>
      </c>
      <c r="B1718" t="s">
        <v>1946</v>
      </c>
      <c r="C1718" t="s">
        <v>1040</v>
      </c>
      <c r="D1718" t="s">
        <v>73</v>
      </c>
    </row>
    <row r="1719" spans="1:4" x14ac:dyDescent="0.25">
      <c r="A1719" t="str">
        <f>"31386"</f>
        <v>31386</v>
      </c>
      <c r="B1719" t="s">
        <v>1947</v>
      </c>
      <c r="C1719" t="s">
        <v>280</v>
      </c>
      <c r="D1719" t="s">
        <v>149</v>
      </c>
    </row>
    <row r="1720" spans="1:4" x14ac:dyDescent="0.25">
      <c r="A1720" t="str">
        <f>"31387"</f>
        <v>31387</v>
      </c>
      <c r="B1720" t="s">
        <v>1948</v>
      </c>
      <c r="C1720" t="s">
        <v>280</v>
      </c>
      <c r="D1720" t="s">
        <v>149</v>
      </c>
    </row>
    <row r="1721" spans="1:4" x14ac:dyDescent="0.25">
      <c r="A1721" t="str">
        <f>"31388"</f>
        <v>31388</v>
      </c>
      <c r="B1721" t="s">
        <v>1949</v>
      </c>
      <c r="C1721" t="s">
        <v>280</v>
      </c>
      <c r="D1721" t="s">
        <v>149</v>
      </c>
    </row>
    <row r="1722" spans="1:4" x14ac:dyDescent="0.25">
      <c r="A1722" t="str">
        <f>"31389"</f>
        <v>31389</v>
      </c>
      <c r="B1722" t="s">
        <v>1950</v>
      </c>
      <c r="C1722" t="s">
        <v>280</v>
      </c>
      <c r="D1722" t="s">
        <v>149</v>
      </c>
    </row>
    <row r="1723" spans="1:4" x14ac:dyDescent="0.25">
      <c r="A1723" t="str">
        <f>"31390"</f>
        <v>31390</v>
      </c>
      <c r="B1723" t="s">
        <v>1951</v>
      </c>
      <c r="C1723" t="s">
        <v>280</v>
      </c>
      <c r="D1723" t="s">
        <v>149</v>
      </c>
    </row>
    <row r="1724" spans="1:4" x14ac:dyDescent="0.25">
      <c r="A1724" t="str">
        <f>"31391"</f>
        <v>31391</v>
      </c>
      <c r="B1724" t="s">
        <v>1952</v>
      </c>
      <c r="C1724" t="s">
        <v>1040</v>
      </c>
      <c r="D1724" t="s">
        <v>73</v>
      </c>
    </row>
    <row r="1725" spans="1:4" x14ac:dyDescent="0.25">
      <c r="A1725" t="str">
        <f>"31392"</f>
        <v>31392</v>
      </c>
      <c r="B1725" t="s">
        <v>1953</v>
      </c>
      <c r="C1725" t="s">
        <v>280</v>
      </c>
      <c r="D1725" t="s">
        <v>149</v>
      </c>
    </row>
    <row r="1726" spans="1:4" x14ac:dyDescent="0.25">
      <c r="A1726" t="str">
        <f>"31393"</f>
        <v>31393</v>
      </c>
      <c r="B1726" t="s">
        <v>1954</v>
      </c>
      <c r="C1726" t="s">
        <v>280</v>
      </c>
      <c r="D1726" t="s">
        <v>73</v>
      </c>
    </row>
    <row r="1727" spans="1:4" x14ac:dyDescent="0.25">
      <c r="A1727" t="str">
        <f>"31394"</f>
        <v>31394</v>
      </c>
      <c r="B1727" t="s">
        <v>1955</v>
      </c>
      <c r="C1727" t="s">
        <v>280</v>
      </c>
      <c r="D1727" t="s">
        <v>149</v>
      </c>
    </row>
    <row r="1728" spans="1:4" x14ac:dyDescent="0.25">
      <c r="A1728" t="str">
        <f>"31395"</f>
        <v>31395</v>
      </c>
      <c r="B1728" t="s">
        <v>1956</v>
      </c>
      <c r="C1728" t="s">
        <v>280</v>
      </c>
      <c r="D1728" t="s">
        <v>149</v>
      </c>
    </row>
    <row r="1729" spans="1:4" x14ac:dyDescent="0.25">
      <c r="A1729" t="str">
        <f>"31396"</f>
        <v>31396</v>
      </c>
      <c r="B1729" t="s">
        <v>1957</v>
      </c>
      <c r="C1729" t="s">
        <v>280</v>
      </c>
      <c r="D1729" t="s">
        <v>6</v>
      </c>
    </row>
    <row r="1730" spans="1:4" x14ac:dyDescent="0.25">
      <c r="A1730" t="str">
        <f>"31397"</f>
        <v>31397</v>
      </c>
      <c r="B1730" t="s">
        <v>1958</v>
      </c>
      <c r="C1730" t="s">
        <v>280</v>
      </c>
      <c r="D1730" t="s">
        <v>6</v>
      </c>
    </row>
    <row r="1731" spans="1:4" x14ac:dyDescent="0.25">
      <c r="A1731" t="str">
        <f>"31398"</f>
        <v>31398</v>
      </c>
      <c r="B1731" t="s">
        <v>1959</v>
      </c>
      <c r="C1731" t="s">
        <v>280</v>
      </c>
      <c r="D1731" t="s">
        <v>6</v>
      </c>
    </row>
    <row r="1732" spans="1:4" x14ac:dyDescent="0.25">
      <c r="A1732" t="str">
        <f>"31399"</f>
        <v>31399</v>
      </c>
      <c r="B1732" t="s">
        <v>1960</v>
      </c>
      <c r="C1732" t="s">
        <v>280</v>
      </c>
      <c r="D1732" t="s">
        <v>149</v>
      </c>
    </row>
    <row r="1733" spans="1:4" x14ac:dyDescent="0.25">
      <c r="A1733" t="str">
        <f>"31400"</f>
        <v>31400</v>
      </c>
      <c r="B1733" t="s">
        <v>1961</v>
      </c>
      <c r="C1733" t="s">
        <v>1040</v>
      </c>
      <c r="D1733" t="s">
        <v>149</v>
      </c>
    </row>
    <row r="1734" spans="1:4" x14ac:dyDescent="0.25">
      <c r="A1734" t="str">
        <f>"31401"</f>
        <v>31401</v>
      </c>
      <c r="B1734" t="s">
        <v>1962</v>
      </c>
      <c r="C1734" t="s">
        <v>280</v>
      </c>
      <c r="D1734" t="s">
        <v>149</v>
      </c>
    </row>
    <row r="1735" spans="1:4" x14ac:dyDescent="0.25">
      <c r="A1735" t="str">
        <f>"31402"</f>
        <v>31402</v>
      </c>
      <c r="B1735" t="s">
        <v>1963</v>
      </c>
      <c r="C1735" t="s">
        <v>280</v>
      </c>
      <c r="D1735" t="s">
        <v>73</v>
      </c>
    </row>
    <row r="1736" spans="1:4" x14ac:dyDescent="0.25">
      <c r="A1736" t="str">
        <f>"31403"</f>
        <v>31403</v>
      </c>
      <c r="B1736" t="s">
        <v>1964</v>
      </c>
      <c r="C1736" t="s">
        <v>280</v>
      </c>
      <c r="D1736" t="s">
        <v>6</v>
      </c>
    </row>
    <row r="1737" spans="1:4" x14ac:dyDescent="0.25">
      <c r="A1737" t="str">
        <f>"31404"</f>
        <v>31404</v>
      </c>
      <c r="B1737" t="s">
        <v>1965</v>
      </c>
      <c r="C1737" t="s">
        <v>280</v>
      </c>
      <c r="D1737" t="s">
        <v>73</v>
      </c>
    </row>
    <row r="1738" spans="1:4" x14ac:dyDescent="0.25">
      <c r="A1738" t="str">
        <f>"31405"</f>
        <v>31405</v>
      </c>
      <c r="B1738" t="s">
        <v>1966</v>
      </c>
      <c r="C1738" t="s">
        <v>280</v>
      </c>
      <c r="D1738" t="s">
        <v>73</v>
      </c>
    </row>
    <row r="1739" spans="1:4" x14ac:dyDescent="0.25">
      <c r="A1739" t="str">
        <f>"31406"</f>
        <v>31406</v>
      </c>
      <c r="B1739" t="s">
        <v>1967</v>
      </c>
      <c r="C1739" t="s">
        <v>280</v>
      </c>
      <c r="D1739" t="s">
        <v>6</v>
      </c>
    </row>
    <row r="1740" spans="1:4" x14ac:dyDescent="0.25">
      <c r="A1740" t="str">
        <f>"31407"</f>
        <v>31407</v>
      </c>
      <c r="B1740" t="s">
        <v>1968</v>
      </c>
      <c r="C1740" t="s">
        <v>280</v>
      </c>
      <c r="D1740" t="s">
        <v>6</v>
      </c>
    </row>
    <row r="1741" spans="1:4" x14ac:dyDescent="0.25">
      <c r="A1741" t="str">
        <f>"31408"</f>
        <v>31408</v>
      </c>
      <c r="B1741" t="s">
        <v>1969</v>
      </c>
      <c r="C1741" t="s">
        <v>1460</v>
      </c>
      <c r="D1741" t="s">
        <v>12</v>
      </c>
    </row>
    <row r="1742" spans="1:4" x14ac:dyDescent="0.25">
      <c r="A1742" t="str">
        <f>"31409"</f>
        <v>31409</v>
      </c>
      <c r="B1742" t="s">
        <v>1970</v>
      </c>
      <c r="C1742" t="s">
        <v>280</v>
      </c>
      <c r="D1742" t="s">
        <v>149</v>
      </c>
    </row>
    <row r="1743" spans="1:4" x14ac:dyDescent="0.25">
      <c r="A1743" t="str">
        <f>"31410"</f>
        <v>31410</v>
      </c>
      <c r="B1743" t="s">
        <v>1971</v>
      </c>
      <c r="C1743" t="s">
        <v>280</v>
      </c>
      <c r="D1743" t="s">
        <v>73</v>
      </c>
    </row>
    <row r="1744" spans="1:4" x14ac:dyDescent="0.25">
      <c r="A1744" t="str">
        <f>"31411"</f>
        <v>31411</v>
      </c>
      <c r="B1744" t="s">
        <v>1972</v>
      </c>
      <c r="C1744" t="s">
        <v>280</v>
      </c>
      <c r="D1744" t="s">
        <v>73</v>
      </c>
    </row>
    <row r="1745" spans="1:4" x14ac:dyDescent="0.25">
      <c r="A1745" t="str">
        <f>"31412"</f>
        <v>31412</v>
      </c>
      <c r="B1745" t="s">
        <v>1973</v>
      </c>
      <c r="C1745" t="s">
        <v>280</v>
      </c>
      <c r="D1745" t="s">
        <v>73</v>
      </c>
    </row>
    <row r="1746" spans="1:4" x14ac:dyDescent="0.25">
      <c r="A1746" t="str">
        <f>"31413"</f>
        <v>31413</v>
      </c>
      <c r="B1746" t="s">
        <v>1974</v>
      </c>
      <c r="C1746" t="s">
        <v>280</v>
      </c>
      <c r="D1746" t="s">
        <v>73</v>
      </c>
    </row>
    <row r="1747" spans="1:4" x14ac:dyDescent="0.25">
      <c r="A1747" t="str">
        <f>"31414"</f>
        <v>31414</v>
      </c>
      <c r="B1747" t="s">
        <v>1975</v>
      </c>
      <c r="C1747" t="s">
        <v>280</v>
      </c>
      <c r="D1747" t="s">
        <v>6</v>
      </c>
    </row>
    <row r="1748" spans="1:4" x14ac:dyDescent="0.25">
      <c r="A1748" t="str">
        <f>"31432"</f>
        <v>31432</v>
      </c>
      <c r="B1748" t="s">
        <v>1976</v>
      </c>
      <c r="C1748" t="s">
        <v>280</v>
      </c>
      <c r="D1748" t="s">
        <v>73</v>
      </c>
    </row>
    <row r="1749" spans="1:4" x14ac:dyDescent="0.25">
      <c r="A1749" t="str">
        <f>"31433"</f>
        <v>31433</v>
      </c>
      <c r="B1749" t="s">
        <v>1977</v>
      </c>
      <c r="C1749" t="s">
        <v>280</v>
      </c>
      <c r="D1749" t="s">
        <v>73</v>
      </c>
    </row>
    <row r="1750" spans="1:4" x14ac:dyDescent="0.25">
      <c r="A1750" t="str">
        <f>"31434"</f>
        <v>31434</v>
      </c>
      <c r="B1750" t="s">
        <v>1978</v>
      </c>
      <c r="C1750" t="s">
        <v>280</v>
      </c>
      <c r="D1750" t="s">
        <v>73</v>
      </c>
    </row>
    <row r="1751" spans="1:4" x14ac:dyDescent="0.25">
      <c r="A1751" t="str">
        <f>"31435"</f>
        <v>31435</v>
      </c>
      <c r="B1751" t="s">
        <v>1979</v>
      </c>
      <c r="C1751" t="s">
        <v>280</v>
      </c>
      <c r="D1751" t="s">
        <v>73</v>
      </c>
    </row>
    <row r="1752" spans="1:4" x14ac:dyDescent="0.25">
      <c r="A1752" t="str">
        <f>"31436"</f>
        <v>31436</v>
      </c>
      <c r="B1752" t="s">
        <v>1980</v>
      </c>
      <c r="C1752" t="s">
        <v>280</v>
      </c>
      <c r="D1752" t="s">
        <v>73</v>
      </c>
    </row>
    <row r="1753" spans="1:4" x14ac:dyDescent="0.25">
      <c r="A1753" t="str">
        <f>"31437"</f>
        <v>31437</v>
      </c>
      <c r="B1753" t="s">
        <v>1981</v>
      </c>
      <c r="C1753" t="s">
        <v>280</v>
      </c>
      <c r="D1753" t="s">
        <v>73</v>
      </c>
    </row>
    <row r="1754" spans="1:4" x14ac:dyDescent="0.25">
      <c r="A1754" t="str">
        <f>"31438"</f>
        <v>31438</v>
      </c>
      <c r="B1754" t="s">
        <v>1982</v>
      </c>
      <c r="C1754" t="s">
        <v>280</v>
      </c>
      <c r="D1754" t="s">
        <v>73</v>
      </c>
    </row>
    <row r="1755" spans="1:4" x14ac:dyDescent="0.25">
      <c r="A1755" t="str">
        <f>"31439"</f>
        <v>31439</v>
      </c>
      <c r="B1755" t="s">
        <v>1983</v>
      </c>
      <c r="C1755" t="s">
        <v>280</v>
      </c>
      <c r="D1755" t="s">
        <v>73</v>
      </c>
    </row>
    <row r="1756" spans="1:4" x14ac:dyDescent="0.25">
      <c r="A1756" t="str">
        <f>"31440"</f>
        <v>31440</v>
      </c>
      <c r="B1756" t="s">
        <v>1984</v>
      </c>
      <c r="C1756" t="s">
        <v>280</v>
      </c>
      <c r="D1756" t="s">
        <v>73</v>
      </c>
    </row>
    <row r="1757" spans="1:4" x14ac:dyDescent="0.25">
      <c r="A1757" t="str">
        <f>"31441"</f>
        <v>31441</v>
      </c>
      <c r="B1757" t="s">
        <v>1985</v>
      </c>
      <c r="C1757" t="s">
        <v>280</v>
      </c>
      <c r="D1757" t="s">
        <v>73</v>
      </c>
    </row>
    <row r="1758" spans="1:4" x14ac:dyDescent="0.25">
      <c r="A1758" t="str">
        <f>"31442"</f>
        <v>31442</v>
      </c>
      <c r="B1758" t="s">
        <v>1986</v>
      </c>
      <c r="C1758" t="s">
        <v>280</v>
      </c>
      <c r="D1758" t="s">
        <v>19</v>
      </c>
    </row>
    <row r="1759" spans="1:4" x14ac:dyDescent="0.25">
      <c r="A1759" t="str">
        <f>"31443"</f>
        <v>31443</v>
      </c>
      <c r="B1759" t="s">
        <v>1987</v>
      </c>
      <c r="C1759" t="s">
        <v>280</v>
      </c>
      <c r="D1759" t="s">
        <v>73</v>
      </c>
    </row>
    <row r="1760" spans="1:4" x14ac:dyDescent="0.25">
      <c r="A1760" t="str">
        <f>"31444"</f>
        <v>31444</v>
      </c>
      <c r="B1760" t="s">
        <v>1988</v>
      </c>
      <c r="C1760" t="s">
        <v>280</v>
      </c>
      <c r="D1760" t="s">
        <v>73</v>
      </c>
    </row>
    <row r="1761" spans="1:4" x14ac:dyDescent="0.25">
      <c r="A1761" t="str">
        <f>"31445"</f>
        <v>31445</v>
      </c>
      <c r="B1761" t="s">
        <v>1989</v>
      </c>
      <c r="C1761" t="s">
        <v>64</v>
      </c>
      <c r="D1761" t="s">
        <v>125</v>
      </c>
    </row>
    <row r="1762" spans="1:4" x14ac:dyDescent="0.25">
      <c r="A1762" t="str">
        <f>"31446"</f>
        <v>31446</v>
      </c>
      <c r="B1762" t="s">
        <v>1990</v>
      </c>
      <c r="C1762" t="s">
        <v>280</v>
      </c>
      <c r="D1762" t="s">
        <v>97</v>
      </c>
    </row>
    <row r="1763" spans="1:4" x14ac:dyDescent="0.25">
      <c r="A1763" t="str">
        <f>"31447"</f>
        <v>31447</v>
      </c>
      <c r="B1763" t="s">
        <v>1991</v>
      </c>
      <c r="C1763" t="s">
        <v>280</v>
      </c>
      <c r="D1763" t="s">
        <v>19</v>
      </c>
    </row>
    <row r="1764" spans="1:4" x14ac:dyDescent="0.25">
      <c r="A1764" t="str">
        <f>"31450"</f>
        <v>31450</v>
      </c>
      <c r="B1764" t="s">
        <v>1992</v>
      </c>
      <c r="C1764" t="s">
        <v>280</v>
      </c>
      <c r="D1764" t="s">
        <v>97</v>
      </c>
    </row>
    <row r="1765" spans="1:4" x14ac:dyDescent="0.25">
      <c r="A1765" t="str">
        <f>"31451"</f>
        <v>31451</v>
      </c>
      <c r="B1765" t="s">
        <v>1993</v>
      </c>
      <c r="C1765" t="s">
        <v>280</v>
      </c>
      <c r="D1765" t="s">
        <v>133</v>
      </c>
    </row>
    <row r="1766" spans="1:4" x14ac:dyDescent="0.25">
      <c r="A1766" t="str">
        <f>"31452"</f>
        <v>31452</v>
      </c>
      <c r="B1766" t="s">
        <v>1994</v>
      </c>
      <c r="C1766" t="s">
        <v>280</v>
      </c>
      <c r="D1766" t="s">
        <v>133</v>
      </c>
    </row>
    <row r="1767" spans="1:4" x14ac:dyDescent="0.25">
      <c r="A1767" t="str">
        <f>"31453"</f>
        <v>31453</v>
      </c>
      <c r="B1767" t="s">
        <v>1995</v>
      </c>
      <c r="C1767" t="s">
        <v>280</v>
      </c>
      <c r="D1767" t="s">
        <v>73</v>
      </c>
    </row>
    <row r="1768" spans="1:4" x14ac:dyDescent="0.25">
      <c r="A1768" t="str">
        <f>"31454"</f>
        <v>31454</v>
      </c>
      <c r="B1768" t="s">
        <v>1996</v>
      </c>
      <c r="C1768" t="s">
        <v>280</v>
      </c>
      <c r="D1768" t="s">
        <v>73</v>
      </c>
    </row>
    <row r="1769" spans="1:4" x14ac:dyDescent="0.25">
      <c r="A1769" t="str">
        <f>"31455"</f>
        <v>31455</v>
      </c>
      <c r="B1769" t="s">
        <v>1997</v>
      </c>
      <c r="C1769" t="s">
        <v>280</v>
      </c>
      <c r="D1769" t="s">
        <v>133</v>
      </c>
    </row>
    <row r="1770" spans="1:4" x14ac:dyDescent="0.25">
      <c r="A1770" t="str">
        <f>"31456"</f>
        <v>31456</v>
      </c>
      <c r="B1770" t="s">
        <v>1998</v>
      </c>
      <c r="C1770" t="s">
        <v>280</v>
      </c>
      <c r="D1770" t="s">
        <v>133</v>
      </c>
    </row>
    <row r="1771" spans="1:4" x14ac:dyDescent="0.25">
      <c r="A1771" t="str">
        <f>"31457"</f>
        <v>31457</v>
      </c>
      <c r="B1771" t="s">
        <v>1999</v>
      </c>
      <c r="C1771" t="s">
        <v>280</v>
      </c>
      <c r="D1771" t="s">
        <v>133</v>
      </c>
    </row>
    <row r="1772" spans="1:4" x14ac:dyDescent="0.25">
      <c r="A1772" t="str">
        <f>"31458"</f>
        <v>31458</v>
      </c>
      <c r="B1772" t="s">
        <v>1531</v>
      </c>
      <c r="C1772" t="s">
        <v>280</v>
      </c>
      <c r="D1772" t="s">
        <v>133</v>
      </c>
    </row>
    <row r="1773" spans="1:4" x14ac:dyDescent="0.25">
      <c r="A1773" t="str">
        <f>"31459"</f>
        <v>31459</v>
      </c>
      <c r="B1773" t="s">
        <v>2000</v>
      </c>
      <c r="C1773" t="s">
        <v>280</v>
      </c>
      <c r="D1773" t="s">
        <v>91</v>
      </c>
    </row>
    <row r="1774" spans="1:4" x14ac:dyDescent="0.25">
      <c r="A1774" t="str">
        <f>"31460"</f>
        <v>31460</v>
      </c>
      <c r="B1774" t="s">
        <v>2001</v>
      </c>
      <c r="C1774" t="s">
        <v>1040</v>
      </c>
      <c r="D1774" t="s">
        <v>91</v>
      </c>
    </row>
    <row r="1775" spans="1:4" x14ac:dyDescent="0.25">
      <c r="A1775" t="str">
        <f>"31461"</f>
        <v>31461</v>
      </c>
      <c r="B1775" t="s">
        <v>2002</v>
      </c>
      <c r="C1775" t="s">
        <v>280</v>
      </c>
      <c r="D1775" t="s">
        <v>91</v>
      </c>
    </row>
    <row r="1776" spans="1:4" x14ac:dyDescent="0.25">
      <c r="A1776" t="str">
        <f>"31462"</f>
        <v>31462</v>
      </c>
      <c r="B1776" t="s">
        <v>2003</v>
      </c>
      <c r="C1776" t="s">
        <v>280</v>
      </c>
      <c r="D1776" t="s">
        <v>73</v>
      </c>
    </row>
    <row r="1777" spans="1:4" x14ac:dyDescent="0.25">
      <c r="A1777" t="str">
        <f>"31463"</f>
        <v>31463</v>
      </c>
      <c r="B1777" t="s">
        <v>2004</v>
      </c>
      <c r="C1777" t="s">
        <v>1040</v>
      </c>
      <c r="D1777" t="s">
        <v>149</v>
      </c>
    </row>
    <row r="1778" spans="1:4" x14ac:dyDescent="0.25">
      <c r="A1778" t="str">
        <f>"31464"</f>
        <v>31464</v>
      </c>
      <c r="B1778" t="s">
        <v>2005</v>
      </c>
      <c r="C1778" t="s">
        <v>280</v>
      </c>
      <c r="D1778" t="s">
        <v>133</v>
      </c>
    </row>
    <row r="1779" spans="1:4" x14ac:dyDescent="0.25">
      <c r="A1779" t="str">
        <f>"31465"</f>
        <v>31465</v>
      </c>
      <c r="B1779" t="s">
        <v>2006</v>
      </c>
      <c r="C1779" t="s">
        <v>1040</v>
      </c>
      <c r="D1779" t="s">
        <v>99</v>
      </c>
    </row>
    <row r="1780" spans="1:4" x14ac:dyDescent="0.25">
      <c r="A1780" t="str">
        <f>"31466"</f>
        <v>31466</v>
      </c>
      <c r="B1780" t="s">
        <v>2007</v>
      </c>
      <c r="C1780" t="s">
        <v>1040</v>
      </c>
      <c r="D1780" t="s">
        <v>99</v>
      </c>
    </row>
    <row r="1781" spans="1:4" x14ac:dyDescent="0.25">
      <c r="A1781" t="str">
        <f>"31467"</f>
        <v>31467</v>
      </c>
      <c r="B1781" t="s">
        <v>2008</v>
      </c>
      <c r="C1781" t="s">
        <v>1547</v>
      </c>
      <c r="D1781" t="s">
        <v>19</v>
      </c>
    </row>
    <row r="1782" spans="1:4" x14ac:dyDescent="0.25">
      <c r="A1782" t="str">
        <f>"31468"</f>
        <v>31468</v>
      </c>
      <c r="B1782" t="s">
        <v>2009</v>
      </c>
      <c r="C1782" t="s">
        <v>1547</v>
      </c>
      <c r="D1782" t="s">
        <v>19</v>
      </c>
    </row>
    <row r="1783" spans="1:4" x14ac:dyDescent="0.25">
      <c r="A1783" t="str">
        <f>"31469"</f>
        <v>31469</v>
      </c>
      <c r="B1783" t="s">
        <v>2010</v>
      </c>
      <c r="C1783" t="s">
        <v>280</v>
      </c>
      <c r="D1783" t="s">
        <v>149</v>
      </c>
    </row>
    <row r="1784" spans="1:4" x14ac:dyDescent="0.25">
      <c r="A1784" t="str">
        <f>"31470"</f>
        <v>31470</v>
      </c>
      <c r="B1784" t="s">
        <v>2011</v>
      </c>
      <c r="C1784" t="s">
        <v>280</v>
      </c>
      <c r="D1784" t="s">
        <v>99</v>
      </c>
    </row>
    <row r="1785" spans="1:4" x14ac:dyDescent="0.25">
      <c r="A1785" t="str">
        <f>"31471"</f>
        <v>31471</v>
      </c>
      <c r="B1785" t="s">
        <v>2012</v>
      </c>
      <c r="C1785" t="s">
        <v>1040</v>
      </c>
      <c r="D1785" t="s">
        <v>99</v>
      </c>
    </row>
    <row r="1786" spans="1:4" x14ac:dyDescent="0.25">
      <c r="A1786" t="str">
        <f>"31472"</f>
        <v>31472</v>
      </c>
      <c r="B1786" t="s">
        <v>2013</v>
      </c>
      <c r="C1786" t="s">
        <v>1547</v>
      </c>
      <c r="D1786" t="s">
        <v>19</v>
      </c>
    </row>
    <row r="1787" spans="1:4" x14ac:dyDescent="0.25">
      <c r="A1787" t="str">
        <f>"31474"</f>
        <v>31474</v>
      </c>
      <c r="B1787" t="s">
        <v>2014</v>
      </c>
      <c r="C1787" t="s">
        <v>280</v>
      </c>
      <c r="D1787" t="s">
        <v>149</v>
      </c>
    </row>
    <row r="1788" spans="1:4" x14ac:dyDescent="0.25">
      <c r="A1788" t="str">
        <f>"31475"</f>
        <v>31475</v>
      </c>
      <c r="B1788" t="s">
        <v>2015</v>
      </c>
      <c r="C1788" t="s">
        <v>280</v>
      </c>
      <c r="D1788" t="s">
        <v>73</v>
      </c>
    </row>
    <row r="1789" spans="1:4" x14ac:dyDescent="0.25">
      <c r="A1789" t="str">
        <f>"31476"</f>
        <v>31476</v>
      </c>
      <c r="B1789" t="s">
        <v>2016</v>
      </c>
      <c r="C1789" t="s">
        <v>1040</v>
      </c>
      <c r="D1789" t="s">
        <v>149</v>
      </c>
    </row>
    <row r="1790" spans="1:4" x14ac:dyDescent="0.25">
      <c r="A1790" t="str">
        <f>"31477"</f>
        <v>31477</v>
      </c>
      <c r="B1790" t="s">
        <v>2017</v>
      </c>
      <c r="C1790" t="s">
        <v>1040</v>
      </c>
      <c r="D1790" t="s">
        <v>73</v>
      </c>
    </row>
    <row r="1791" spans="1:4" x14ac:dyDescent="0.25">
      <c r="A1791" t="str">
        <f>"31478"</f>
        <v>31478</v>
      </c>
      <c r="B1791" t="s">
        <v>2018</v>
      </c>
      <c r="C1791" t="s">
        <v>1040</v>
      </c>
      <c r="D1791" t="s">
        <v>73</v>
      </c>
    </row>
    <row r="1792" spans="1:4" x14ac:dyDescent="0.25">
      <c r="A1792" t="str">
        <f>"31479"</f>
        <v>31479</v>
      </c>
      <c r="B1792" t="s">
        <v>2019</v>
      </c>
      <c r="C1792" t="s">
        <v>280</v>
      </c>
      <c r="D1792" t="s">
        <v>149</v>
      </c>
    </row>
    <row r="1793" spans="1:4" x14ac:dyDescent="0.25">
      <c r="A1793" t="str">
        <f>"31480"</f>
        <v>31480</v>
      </c>
      <c r="B1793" t="s">
        <v>2020</v>
      </c>
      <c r="C1793" t="s">
        <v>1547</v>
      </c>
      <c r="D1793" t="s">
        <v>85</v>
      </c>
    </row>
    <row r="1794" spans="1:4" x14ac:dyDescent="0.25">
      <c r="A1794" t="str">
        <f>"31481"</f>
        <v>31481</v>
      </c>
      <c r="B1794" t="s">
        <v>2021</v>
      </c>
      <c r="C1794" t="s">
        <v>280</v>
      </c>
      <c r="D1794" t="s">
        <v>149</v>
      </c>
    </row>
    <row r="1795" spans="1:4" x14ac:dyDescent="0.25">
      <c r="A1795" t="str">
        <f>"31482"</f>
        <v>31482</v>
      </c>
      <c r="B1795" t="s">
        <v>2022</v>
      </c>
      <c r="C1795" t="s">
        <v>280</v>
      </c>
      <c r="D1795" t="s">
        <v>73</v>
      </c>
    </row>
    <row r="1796" spans="1:4" x14ac:dyDescent="0.25">
      <c r="A1796" t="str">
        <f>"31483"</f>
        <v>31483</v>
      </c>
      <c r="B1796" t="s">
        <v>2023</v>
      </c>
      <c r="C1796" t="s">
        <v>280</v>
      </c>
      <c r="D1796" t="s">
        <v>149</v>
      </c>
    </row>
    <row r="1797" spans="1:4" x14ac:dyDescent="0.25">
      <c r="A1797" t="str">
        <f>"31484"</f>
        <v>31484</v>
      </c>
      <c r="B1797" t="s">
        <v>2024</v>
      </c>
      <c r="C1797" t="s">
        <v>280</v>
      </c>
      <c r="D1797" t="s">
        <v>149</v>
      </c>
    </row>
    <row r="1798" spans="1:4" x14ac:dyDescent="0.25">
      <c r="A1798" t="str">
        <f>"31485"</f>
        <v>31485</v>
      </c>
      <c r="B1798" t="s">
        <v>2025</v>
      </c>
      <c r="C1798" t="s">
        <v>280</v>
      </c>
      <c r="D1798" t="s">
        <v>149</v>
      </c>
    </row>
    <row r="1799" spans="1:4" x14ac:dyDescent="0.25">
      <c r="A1799" t="str">
        <f>"31486"</f>
        <v>31486</v>
      </c>
      <c r="B1799" t="s">
        <v>2026</v>
      </c>
      <c r="C1799" t="s">
        <v>280</v>
      </c>
      <c r="D1799" t="s">
        <v>149</v>
      </c>
    </row>
    <row r="1800" spans="1:4" x14ac:dyDescent="0.25">
      <c r="A1800" t="str">
        <f>"326"</f>
        <v>326</v>
      </c>
      <c r="B1800" t="s">
        <v>2027</v>
      </c>
      <c r="C1800" t="s">
        <v>44</v>
      </c>
      <c r="D1800" t="s">
        <v>19</v>
      </c>
    </row>
    <row r="1801" spans="1:4" x14ac:dyDescent="0.25">
      <c r="A1801" t="str">
        <f>"367"</f>
        <v>367</v>
      </c>
      <c r="B1801" t="s">
        <v>2028</v>
      </c>
      <c r="C1801" t="s">
        <v>11</v>
      </c>
      <c r="D1801" t="s">
        <v>122</v>
      </c>
    </row>
    <row r="1802" spans="1:4" x14ac:dyDescent="0.25">
      <c r="A1802" t="str">
        <f>"40002"</f>
        <v>40002</v>
      </c>
      <c r="B1802" t="s">
        <v>2029</v>
      </c>
      <c r="C1802" t="s">
        <v>561</v>
      </c>
      <c r="D1802" t="s">
        <v>80</v>
      </c>
    </row>
    <row r="1803" spans="1:4" x14ac:dyDescent="0.25">
      <c r="A1803" t="str">
        <f>"40003"</f>
        <v>40003</v>
      </c>
      <c r="B1803" t="s">
        <v>2030</v>
      </c>
      <c r="C1803" t="s">
        <v>561</v>
      </c>
      <c r="D1803" t="s">
        <v>80</v>
      </c>
    </row>
    <row r="1804" spans="1:4" x14ac:dyDescent="0.25">
      <c r="A1804" t="str">
        <f>"40004"</f>
        <v>40004</v>
      </c>
      <c r="B1804" t="s">
        <v>2031</v>
      </c>
      <c r="C1804" t="s">
        <v>561</v>
      </c>
      <c r="D1804" t="s">
        <v>34</v>
      </c>
    </row>
    <row r="1805" spans="1:4" x14ac:dyDescent="0.25">
      <c r="A1805" t="str">
        <f>"40008"</f>
        <v>40008</v>
      </c>
      <c r="B1805" t="s">
        <v>2032</v>
      </c>
      <c r="C1805" t="s">
        <v>72</v>
      </c>
      <c r="D1805" t="s">
        <v>19</v>
      </c>
    </row>
    <row r="1806" spans="1:4" x14ac:dyDescent="0.25">
      <c r="A1806" t="str">
        <f>"40011"</f>
        <v>40011</v>
      </c>
      <c r="B1806" t="s">
        <v>2033</v>
      </c>
      <c r="C1806" t="s">
        <v>159</v>
      </c>
      <c r="D1806" t="s">
        <v>73</v>
      </c>
    </row>
    <row r="1807" spans="1:4" x14ac:dyDescent="0.25">
      <c r="A1807" t="str">
        <f>"40013"</f>
        <v>40013</v>
      </c>
      <c r="B1807" t="s">
        <v>2034</v>
      </c>
      <c r="C1807" t="s">
        <v>22</v>
      </c>
      <c r="D1807" t="s">
        <v>17</v>
      </c>
    </row>
    <row r="1808" spans="1:4" x14ac:dyDescent="0.25">
      <c r="A1808" t="str">
        <f>"40014"</f>
        <v>40014</v>
      </c>
      <c r="B1808" t="s">
        <v>2035</v>
      </c>
      <c r="C1808" t="s">
        <v>22</v>
      </c>
      <c r="D1808" t="s">
        <v>34</v>
      </c>
    </row>
    <row r="1809" spans="1:4" x14ac:dyDescent="0.25">
      <c r="A1809" t="str">
        <f>"40015"</f>
        <v>40015</v>
      </c>
      <c r="B1809" t="s">
        <v>2036</v>
      </c>
      <c r="C1809" t="s">
        <v>561</v>
      </c>
      <c r="D1809" t="s">
        <v>125</v>
      </c>
    </row>
    <row r="1810" spans="1:4" x14ac:dyDescent="0.25">
      <c r="A1810" t="str">
        <f>"40016"</f>
        <v>40016</v>
      </c>
      <c r="B1810" t="s">
        <v>2037</v>
      </c>
      <c r="C1810" t="s">
        <v>96</v>
      </c>
      <c r="D1810" t="s">
        <v>80</v>
      </c>
    </row>
    <row r="1811" spans="1:4" x14ac:dyDescent="0.25">
      <c r="A1811" t="str">
        <f>"40017"</f>
        <v>40017</v>
      </c>
      <c r="B1811" t="s">
        <v>2038</v>
      </c>
      <c r="C1811" t="s">
        <v>258</v>
      </c>
      <c r="D1811" t="s">
        <v>109</v>
      </c>
    </row>
    <row r="1812" spans="1:4" x14ac:dyDescent="0.25">
      <c r="A1812" t="str">
        <f>"40018"</f>
        <v>40018</v>
      </c>
      <c r="B1812" t="s">
        <v>2039</v>
      </c>
      <c r="C1812" t="s">
        <v>561</v>
      </c>
      <c r="D1812" t="s">
        <v>12</v>
      </c>
    </row>
    <row r="1813" spans="1:4" x14ac:dyDescent="0.25">
      <c r="A1813" t="str">
        <f>"40023"</f>
        <v>40023</v>
      </c>
      <c r="B1813" t="s">
        <v>2040</v>
      </c>
      <c r="C1813" t="s">
        <v>96</v>
      </c>
      <c r="D1813" t="s">
        <v>149</v>
      </c>
    </row>
    <row r="1814" spans="1:4" x14ac:dyDescent="0.25">
      <c r="A1814" t="str">
        <f>"40024"</f>
        <v>40024</v>
      </c>
      <c r="B1814" t="s">
        <v>2041</v>
      </c>
      <c r="C1814" t="s">
        <v>96</v>
      </c>
      <c r="D1814" t="s">
        <v>80</v>
      </c>
    </row>
    <row r="1815" spans="1:4" x14ac:dyDescent="0.25">
      <c r="A1815" t="str">
        <f>"40025"</f>
        <v>40025</v>
      </c>
      <c r="B1815" t="s">
        <v>2042</v>
      </c>
      <c r="C1815" t="s">
        <v>96</v>
      </c>
      <c r="D1815" t="s">
        <v>85</v>
      </c>
    </row>
    <row r="1816" spans="1:4" x14ac:dyDescent="0.25">
      <c r="A1816" t="str">
        <f>"40026"</f>
        <v>40026</v>
      </c>
      <c r="B1816" t="s">
        <v>2043</v>
      </c>
      <c r="C1816" t="s">
        <v>2044</v>
      </c>
      <c r="D1816" t="s">
        <v>80</v>
      </c>
    </row>
    <row r="1817" spans="1:4" x14ac:dyDescent="0.25">
      <c r="A1817" t="str">
        <f>"40027"</f>
        <v>40027</v>
      </c>
      <c r="B1817" t="s">
        <v>2045</v>
      </c>
      <c r="C1817" t="s">
        <v>22</v>
      </c>
      <c r="D1817" t="s">
        <v>122</v>
      </c>
    </row>
    <row r="1818" spans="1:4" x14ac:dyDescent="0.25">
      <c r="A1818" t="str">
        <f>"40029"</f>
        <v>40029</v>
      </c>
      <c r="B1818" t="s">
        <v>2046</v>
      </c>
      <c r="C1818" t="s">
        <v>27</v>
      </c>
      <c r="D1818" t="s">
        <v>17</v>
      </c>
    </row>
    <row r="1819" spans="1:4" x14ac:dyDescent="0.25">
      <c r="A1819" t="str">
        <f>"40031"</f>
        <v>40031</v>
      </c>
      <c r="B1819" t="s">
        <v>2047</v>
      </c>
      <c r="C1819" t="s">
        <v>378</v>
      </c>
      <c r="D1819" t="s">
        <v>80</v>
      </c>
    </row>
    <row r="1820" spans="1:4" x14ac:dyDescent="0.25">
      <c r="A1820" t="str">
        <f>"40035"</f>
        <v>40035</v>
      </c>
      <c r="B1820" t="s">
        <v>2048</v>
      </c>
      <c r="C1820" t="s">
        <v>27</v>
      </c>
      <c r="D1820" t="s">
        <v>17</v>
      </c>
    </row>
    <row r="1821" spans="1:4" x14ac:dyDescent="0.25">
      <c r="A1821" t="str">
        <f>"40036"</f>
        <v>40036</v>
      </c>
      <c r="B1821" t="s">
        <v>2049</v>
      </c>
      <c r="C1821" t="s">
        <v>378</v>
      </c>
      <c r="D1821" t="s">
        <v>97</v>
      </c>
    </row>
    <row r="1822" spans="1:4" x14ac:dyDescent="0.25">
      <c r="A1822" t="str">
        <f>"40038"</f>
        <v>40038</v>
      </c>
      <c r="B1822" t="s">
        <v>2050</v>
      </c>
      <c r="C1822" t="s">
        <v>2044</v>
      </c>
      <c r="D1822" t="s">
        <v>80</v>
      </c>
    </row>
    <row r="1823" spans="1:4" x14ac:dyDescent="0.25">
      <c r="A1823" t="str">
        <f>"40039"</f>
        <v>40039</v>
      </c>
      <c r="B1823" t="s">
        <v>2051</v>
      </c>
      <c r="C1823" t="s">
        <v>33</v>
      </c>
      <c r="D1823" t="s">
        <v>17</v>
      </c>
    </row>
    <row r="1824" spans="1:4" x14ac:dyDescent="0.25">
      <c r="A1824" t="str">
        <f>"40040"</f>
        <v>40040</v>
      </c>
      <c r="B1824" t="s">
        <v>2052</v>
      </c>
      <c r="C1824" t="s">
        <v>285</v>
      </c>
      <c r="D1824" t="s">
        <v>17</v>
      </c>
    </row>
    <row r="1825" spans="1:4" x14ac:dyDescent="0.25">
      <c r="A1825" t="str">
        <f>"40041"</f>
        <v>40041</v>
      </c>
      <c r="B1825" t="s">
        <v>2053</v>
      </c>
      <c r="C1825" t="s">
        <v>378</v>
      </c>
      <c r="D1825" t="s">
        <v>80</v>
      </c>
    </row>
    <row r="1826" spans="1:4" x14ac:dyDescent="0.25">
      <c r="A1826" t="str">
        <f>"40043"</f>
        <v>40043</v>
      </c>
      <c r="B1826" t="s">
        <v>2054</v>
      </c>
      <c r="C1826" t="s">
        <v>561</v>
      </c>
      <c r="D1826" t="s">
        <v>80</v>
      </c>
    </row>
    <row r="1827" spans="1:4" x14ac:dyDescent="0.25">
      <c r="A1827" t="str">
        <f>"40044"</f>
        <v>40044</v>
      </c>
      <c r="B1827" t="s">
        <v>2055</v>
      </c>
      <c r="C1827" t="s">
        <v>258</v>
      </c>
      <c r="D1827" t="s">
        <v>109</v>
      </c>
    </row>
    <row r="1828" spans="1:4" x14ac:dyDescent="0.25">
      <c r="A1828" t="str">
        <f>"40045"</f>
        <v>40045</v>
      </c>
      <c r="B1828" t="s">
        <v>2056</v>
      </c>
      <c r="C1828" t="s">
        <v>683</v>
      </c>
      <c r="D1828" t="s">
        <v>58</v>
      </c>
    </row>
    <row r="1829" spans="1:4" x14ac:dyDescent="0.25">
      <c r="A1829" t="str">
        <f>"40046"</f>
        <v>40046</v>
      </c>
      <c r="B1829" t="s">
        <v>2057</v>
      </c>
      <c r="C1829" t="s">
        <v>22</v>
      </c>
      <c r="D1829" t="s">
        <v>34</v>
      </c>
    </row>
    <row r="1830" spans="1:4" x14ac:dyDescent="0.25">
      <c r="A1830" t="str">
        <f>"40047"</f>
        <v>40047</v>
      </c>
      <c r="B1830" t="s">
        <v>2058</v>
      </c>
      <c r="C1830" t="s">
        <v>72</v>
      </c>
      <c r="D1830" t="s">
        <v>80</v>
      </c>
    </row>
    <row r="1831" spans="1:4" x14ac:dyDescent="0.25">
      <c r="A1831" t="str">
        <f>"40048"</f>
        <v>40048</v>
      </c>
      <c r="B1831" t="s">
        <v>2059</v>
      </c>
      <c r="C1831" t="s">
        <v>220</v>
      </c>
      <c r="D1831" t="s">
        <v>17</v>
      </c>
    </row>
    <row r="1832" spans="1:4" x14ac:dyDescent="0.25">
      <c r="A1832" t="str">
        <f>"40049"</f>
        <v>40049</v>
      </c>
      <c r="B1832" t="s">
        <v>2060</v>
      </c>
      <c r="C1832" t="s">
        <v>79</v>
      </c>
      <c r="D1832" t="s">
        <v>75</v>
      </c>
    </row>
    <row r="1833" spans="1:4" x14ac:dyDescent="0.25">
      <c r="A1833" t="str">
        <f>"40050"</f>
        <v>40050</v>
      </c>
      <c r="B1833" t="s">
        <v>2061</v>
      </c>
      <c r="C1833" t="s">
        <v>2062</v>
      </c>
      <c r="D1833" t="s">
        <v>17</v>
      </c>
    </row>
    <row r="1834" spans="1:4" x14ac:dyDescent="0.25">
      <c r="A1834" t="str">
        <f>"40051"</f>
        <v>40051</v>
      </c>
      <c r="B1834" t="s">
        <v>2063</v>
      </c>
      <c r="C1834" t="s">
        <v>561</v>
      </c>
      <c r="D1834" t="s">
        <v>80</v>
      </c>
    </row>
    <row r="1835" spans="1:4" x14ac:dyDescent="0.25">
      <c r="A1835" t="str">
        <f>"40052"</f>
        <v>40052</v>
      </c>
      <c r="B1835" t="s">
        <v>2064</v>
      </c>
      <c r="C1835" t="s">
        <v>96</v>
      </c>
      <c r="D1835" t="s">
        <v>80</v>
      </c>
    </row>
    <row r="1836" spans="1:4" x14ac:dyDescent="0.25">
      <c r="A1836" t="str">
        <f>"40053"</f>
        <v>40053</v>
      </c>
      <c r="B1836" t="s">
        <v>2065</v>
      </c>
      <c r="C1836" t="s">
        <v>96</v>
      </c>
      <c r="D1836" t="s">
        <v>73</v>
      </c>
    </row>
    <row r="1837" spans="1:4" x14ac:dyDescent="0.25">
      <c r="A1837" t="str">
        <f>"40054"</f>
        <v>40054</v>
      </c>
      <c r="B1837" t="s">
        <v>2066</v>
      </c>
      <c r="C1837" t="s">
        <v>72</v>
      </c>
      <c r="D1837" t="s">
        <v>73</v>
      </c>
    </row>
    <row r="1838" spans="1:4" x14ac:dyDescent="0.25">
      <c r="A1838" t="str">
        <f>"40055"</f>
        <v>40055</v>
      </c>
      <c r="B1838" t="s">
        <v>2067</v>
      </c>
      <c r="C1838" t="s">
        <v>72</v>
      </c>
      <c r="D1838" t="s">
        <v>80</v>
      </c>
    </row>
    <row r="1839" spans="1:4" x14ac:dyDescent="0.25">
      <c r="A1839" t="str">
        <f>"40056"</f>
        <v>40056</v>
      </c>
      <c r="B1839" t="s">
        <v>2068</v>
      </c>
      <c r="C1839" t="s">
        <v>664</v>
      </c>
      <c r="D1839" t="s">
        <v>80</v>
      </c>
    </row>
    <row r="1840" spans="1:4" x14ac:dyDescent="0.25">
      <c r="A1840" t="str">
        <f>"40057"</f>
        <v>40057</v>
      </c>
      <c r="B1840" t="s">
        <v>2069</v>
      </c>
      <c r="C1840" t="s">
        <v>64</v>
      </c>
      <c r="D1840" t="s">
        <v>34</v>
      </c>
    </row>
    <row r="1841" spans="1:4" x14ac:dyDescent="0.25">
      <c r="A1841" t="str">
        <f>"40058"</f>
        <v>40058</v>
      </c>
      <c r="B1841" t="s">
        <v>2070</v>
      </c>
      <c r="C1841" t="s">
        <v>64</v>
      </c>
      <c r="D1841" t="s">
        <v>34</v>
      </c>
    </row>
    <row r="1842" spans="1:4" x14ac:dyDescent="0.25">
      <c r="A1842" t="str">
        <f>"40059"</f>
        <v>40059</v>
      </c>
      <c r="B1842" t="s">
        <v>2071</v>
      </c>
      <c r="C1842" t="s">
        <v>536</v>
      </c>
      <c r="D1842" t="s">
        <v>17</v>
      </c>
    </row>
    <row r="1843" spans="1:4" x14ac:dyDescent="0.25">
      <c r="A1843" t="str">
        <f>"40060"</f>
        <v>40060</v>
      </c>
      <c r="B1843" t="s">
        <v>2072</v>
      </c>
      <c r="C1843" t="s">
        <v>561</v>
      </c>
      <c r="D1843" t="s">
        <v>125</v>
      </c>
    </row>
    <row r="1844" spans="1:4" x14ac:dyDescent="0.25">
      <c r="A1844" t="str">
        <f>"40061"</f>
        <v>40061</v>
      </c>
      <c r="B1844" t="s">
        <v>2073</v>
      </c>
      <c r="C1844" t="s">
        <v>33</v>
      </c>
      <c r="D1844" t="s">
        <v>80</v>
      </c>
    </row>
    <row r="1845" spans="1:4" x14ac:dyDescent="0.25">
      <c r="A1845" t="str">
        <f>"40062"</f>
        <v>40062</v>
      </c>
      <c r="B1845" t="s">
        <v>2074</v>
      </c>
      <c r="C1845" t="s">
        <v>159</v>
      </c>
      <c r="D1845" t="s">
        <v>73</v>
      </c>
    </row>
    <row r="1846" spans="1:4" x14ac:dyDescent="0.25">
      <c r="A1846" t="str">
        <f>"40063"</f>
        <v>40063</v>
      </c>
      <c r="B1846" t="s">
        <v>2075</v>
      </c>
      <c r="C1846" t="s">
        <v>22</v>
      </c>
      <c r="D1846" t="s">
        <v>17</v>
      </c>
    </row>
    <row r="1847" spans="1:4" x14ac:dyDescent="0.25">
      <c r="A1847" t="str">
        <f>"40069"</f>
        <v>40069</v>
      </c>
      <c r="B1847" t="s">
        <v>2076</v>
      </c>
      <c r="C1847" t="s">
        <v>695</v>
      </c>
      <c r="D1847" t="s">
        <v>80</v>
      </c>
    </row>
    <row r="1848" spans="1:4" x14ac:dyDescent="0.25">
      <c r="A1848" t="str">
        <f>"40071"</f>
        <v>40071</v>
      </c>
      <c r="B1848" t="s">
        <v>2077</v>
      </c>
      <c r="C1848" t="s">
        <v>561</v>
      </c>
      <c r="D1848" t="s">
        <v>99</v>
      </c>
    </row>
    <row r="1849" spans="1:4" x14ac:dyDescent="0.25">
      <c r="A1849" t="str">
        <f>"40072"</f>
        <v>40072</v>
      </c>
      <c r="B1849" t="s">
        <v>2078</v>
      </c>
      <c r="C1849" t="s">
        <v>2079</v>
      </c>
      <c r="D1849" t="s">
        <v>2080</v>
      </c>
    </row>
    <row r="1850" spans="1:4" x14ac:dyDescent="0.25">
      <c r="A1850" t="str">
        <f>"40073"</f>
        <v>40073</v>
      </c>
      <c r="B1850" t="s">
        <v>2081</v>
      </c>
      <c r="C1850" t="s">
        <v>248</v>
      </c>
      <c r="D1850" t="s">
        <v>17</v>
      </c>
    </row>
    <row r="1851" spans="1:4" x14ac:dyDescent="0.25">
      <c r="A1851" t="str">
        <f>"40074"</f>
        <v>40074</v>
      </c>
      <c r="B1851" t="s">
        <v>2082</v>
      </c>
      <c r="C1851" t="s">
        <v>72</v>
      </c>
      <c r="D1851" t="s">
        <v>73</v>
      </c>
    </row>
    <row r="1852" spans="1:4" x14ac:dyDescent="0.25">
      <c r="A1852" t="str">
        <f>"40075"</f>
        <v>40075</v>
      </c>
      <c r="B1852" t="s">
        <v>2083</v>
      </c>
      <c r="C1852" t="s">
        <v>96</v>
      </c>
      <c r="D1852" t="s">
        <v>80</v>
      </c>
    </row>
    <row r="1853" spans="1:4" x14ac:dyDescent="0.25">
      <c r="A1853" t="str">
        <f>"40076"</f>
        <v>40076</v>
      </c>
      <c r="B1853" t="s">
        <v>2084</v>
      </c>
      <c r="C1853" t="s">
        <v>72</v>
      </c>
      <c r="D1853" t="s">
        <v>73</v>
      </c>
    </row>
    <row r="1854" spans="1:4" x14ac:dyDescent="0.25">
      <c r="A1854" t="str">
        <f>"40077"</f>
        <v>40077</v>
      </c>
      <c r="B1854" t="s">
        <v>2085</v>
      </c>
      <c r="C1854" t="s">
        <v>72</v>
      </c>
      <c r="D1854" t="s">
        <v>73</v>
      </c>
    </row>
    <row r="1855" spans="1:4" x14ac:dyDescent="0.25">
      <c r="A1855" t="str">
        <f>"40078"</f>
        <v>40078</v>
      </c>
      <c r="B1855" t="s">
        <v>2086</v>
      </c>
      <c r="C1855" t="s">
        <v>72</v>
      </c>
      <c r="D1855" t="s">
        <v>149</v>
      </c>
    </row>
    <row r="1856" spans="1:4" x14ac:dyDescent="0.25">
      <c r="A1856" t="str">
        <f>"40079"</f>
        <v>40079</v>
      </c>
      <c r="B1856" t="s">
        <v>2087</v>
      </c>
      <c r="C1856" t="s">
        <v>72</v>
      </c>
      <c r="D1856" t="s">
        <v>149</v>
      </c>
    </row>
    <row r="1857" spans="1:4" x14ac:dyDescent="0.25">
      <c r="A1857" t="str">
        <f>"40080"</f>
        <v>40080</v>
      </c>
      <c r="B1857" t="s">
        <v>2088</v>
      </c>
      <c r="C1857" t="s">
        <v>52</v>
      </c>
      <c r="D1857" t="s">
        <v>40</v>
      </c>
    </row>
    <row r="1858" spans="1:4" x14ac:dyDescent="0.25">
      <c r="A1858" t="str">
        <f>"40082"</f>
        <v>40082</v>
      </c>
      <c r="B1858" t="s">
        <v>2089</v>
      </c>
      <c r="C1858" t="s">
        <v>96</v>
      </c>
      <c r="D1858" t="s">
        <v>125</v>
      </c>
    </row>
    <row r="1859" spans="1:4" x14ac:dyDescent="0.25">
      <c r="A1859" t="str">
        <f>"40083"</f>
        <v>40083</v>
      </c>
      <c r="B1859" t="s">
        <v>2090</v>
      </c>
      <c r="C1859" t="s">
        <v>96</v>
      </c>
      <c r="D1859" t="s">
        <v>12</v>
      </c>
    </row>
    <row r="1860" spans="1:4" x14ac:dyDescent="0.25">
      <c r="A1860" t="str">
        <f>"40084"</f>
        <v>40084</v>
      </c>
      <c r="B1860" t="s">
        <v>2091</v>
      </c>
      <c r="C1860" t="s">
        <v>1040</v>
      </c>
      <c r="D1860" t="s">
        <v>125</v>
      </c>
    </row>
    <row r="1861" spans="1:4" x14ac:dyDescent="0.25">
      <c r="A1861" t="str">
        <f>"40085"</f>
        <v>40085</v>
      </c>
      <c r="B1861" t="s">
        <v>2092</v>
      </c>
      <c r="C1861" t="s">
        <v>72</v>
      </c>
      <c r="D1861" t="s">
        <v>149</v>
      </c>
    </row>
    <row r="1862" spans="1:4" x14ac:dyDescent="0.25">
      <c r="A1862" t="str">
        <f>"40087"</f>
        <v>40087</v>
      </c>
      <c r="B1862" t="s">
        <v>2093</v>
      </c>
      <c r="C1862" t="s">
        <v>378</v>
      </c>
      <c r="D1862" t="s">
        <v>73</v>
      </c>
    </row>
    <row r="1863" spans="1:4" x14ac:dyDescent="0.25">
      <c r="A1863" t="str">
        <f>"40088"</f>
        <v>40088</v>
      </c>
      <c r="B1863" t="s">
        <v>2094</v>
      </c>
      <c r="C1863" t="s">
        <v>64</v>
      </c>
      <c r="D1863" t="s">
        <v>17</v>
      </c>
    </row>
    <row r="1864" spans="1:4" x14ac:dyDescent="0.25">
      <c r="A1864" t="str">
        <f>"40089"</f>
        <v>40089</v>
      </c>
      <c r="B1864" t="s">
        <v>2095</v>
      </c>
      <c r="C1864" t="s">
        <v>52</v>
      </c>
      <c r="D1864" t="s">
        <v>122</v>
      </c>
    </row>
    <row r="1865" spans="1:4" x14ac:dyDescent="0.25">
      <c r="A1865" t="str">
        <f>"40090"</f>
        <v>40090</v>
      </c>
      <c r="B1865" t="s">
        <v>2096</v>
      </c>
      <c r="C1865" t="s">
        <v>1130</v>
      </c>
      <c r="D1865" t="s">
        <v>80</v>
      </c>
    </row>
    <row r="1866" spans="1:4" x14ac:dyDescent="0.25">
      <c r="A1866" t="str">
        <f>"40091"</f>
        <v>40091</v>
      </c>
      <c r="B1866" t="s">
        <v>2097</v>
      </c>
      <c r="C1866" t="s">
        <v>72</v>
      </c>
      <c r="D1866" t="s">
        <v>80</v>
      </c>
    </row>
    <row r="1867" spans="1:4" x14ac:dyDescent="0.25">
      <c r="A1867" t="str">
        <f>"40092"</f>
        <v>40092</v>
      </c>
      <c r="B1867" t="s">
        <v>2098</v>
      </c>
      <c r="C1867" t="s">
        <v>96</v>
      </c>
      <c r="D1867" t="s">
        <v>40</v>
      </c>
    </row>
    <row r="1868" spans="1:4" x14ac:dyDescent="0.25">
      <c r="A1868" t="str">
        <f>"40093"</f>
        <v>40093</v>
      </c>
      <c r="B1868" t="s">
        <v>2099</v>
      </c>
      <c r="C1868" t="s">
        <v>64</v>
      </c>
      <c r="D1868" t="s">
        <v>73</v>
      </c>
    </row>
    <row r="1869" spans="1:4" x14ac:dyDescent="0.25">
      <c r="A1869" t="str">
        <f>"40094"</f>
        <v>40094</v>
      </c>
      <c r="B1869" t="s">
        <v>2100</v>
      </c>
      <c r="C1869" t="s">
        <v>561</v>
      </c>
      <c r="D1869" t="s">
        <v>19</v>
      </c>
    </row>
    <row r="1870" spans="1:4" x14ac:dyDescent="0.25">
      <c r="A1870" t="str">
        <f>"40097"</f>
        <v>40097</v>
      </c>
      <c r="B1870" t="s">
        <v>2101</v>
      </c>
      <c r="C1870" t="s">
        <v>96</v>
      </c>
      <c r="D1870" t="s">
        <v>73</v>
      </c>
    </row>
    <row r="1871" spans="1:4" x14ac:dyDescent="0.25">
      <c r="A1871" t="str">
        <f>"40098"</f>
        <v>40098</v>
      </c>
      <c r="B1871" t="s">
        <v>2102</v>
      </c>
      <c r="C1871" t="s">
        <v>561</v>
      </c>
      <c r="D1871" t="s">
        <v>40</v>
      </c>
    </row>
    <row r="1872" spans="1:4" x14ac:dyDescent="0.25">
      <c r="A1872" t="str">
        <f>"40100"</f>
        <v>40100</v>
      </c>
      <c r="B1872" t="s">
        <v>2103</v>
      </c>
      <c r="C1872" t="s">
        <v>561</v>
      </c>
      <c r="D1872" t="s">
        <v>80</v>
      </c>
    </row>
    <row r="1873" spans="1:4" x14ac:dyDescent="0.25">
      <c r="A1873" t="str">
        <f>"40101"</f>
        <v>40101</v>
      </c>
      <c r="B1873" t="s">
        <v>2104</v>
      </c>
      <c r="C1873" t="s">
        <v>64</v>
      </c>
      <c r="D1873" t="s">
        <v>34</v>
      </c>
    </row>
    <row r="1874" spans="1:4" x14ac:dyDescent="0.25">
      <c r="A1874" t="str">
        <f>"40102"</f>
        <v>40102</v>
      </c>
      <c r="B1874" t="s">
        <v>2105</v>
      </c>
      <c r="C1874" t="s">
        <v>72</v>
      </c>
      <c r="D1874" t="s">
        <v>149</v>
      </c>
    </row>
    <row r="1875" spans="1:4" x14ac:dyDescent="0.25">
      <c r="A1875" t="str">
        <f>"40103"</f>
        <v>40103</v>
      </c>
      <c r="B1875" t="s">
        <v>2106</v>
      </c>
      <c r="C1875" t="s">
        <v>561</v>
      </c>
      <c r="D1875" t="s">
        <v>80</v>
      </c>
    </row>
    <row r="1876" spans="1:4" x14ac:dyDescent="0.25">
      <c r="A1876" t="str">
        <f>"40104"</f>
        <v>40104</v>
      </c>
      <c r="B1876" t="s">
        <v>2107</v>
      </c>
      <c r="C1876" t="s">
        <v>27</v>
      </c>
      <c r="D1876" t="s">
        <v>17</v>
      </c>
    </row>
    <row r="1877" spans="1:4" x14ac:dyDescent="0.25">
      <c r="A1877" t="str">
        <f>"40105"</f>
        <v>40105</v>
      </c>
      <c r="B1877" t="s">
        <v>2108</v>
      </c>
      <c r="C1877" t="s">
        <v>22</v>
      </c>
      <c r="D1877" t="s">
        <v>17</v>
      </c>
    </row>
    <row r="1878" spans="1:4" x14ac:dyDescent="0.25">
      <c r="A1878" t="str">
        <f>"40106"</f>
        <v>40106</v>
      </c>
      <c r="B1878" t="s">
        <v>2109</v>
      </c>
      <c r="C1878" t="s">
        <v>683</v>
      </c>
      <c r="D1878" t="s">
        <v>58</v>
      </c>
    </row>
    <row r="1879" spans="1:4" x14ac:dyDescent="0.25">
      <c r="A1879" t="str">
        <f>"40107"</f>
        <v>40107</v>
      </c>
      <c r="B1879" t="s">
        <v>2110</v>
      </c>
      <c r="C1879" t="s">
        <v>22</v>
      </c>
      <c r="D1879" t="s">
        <v>17</v>
      </c>
    </row>
    <row r="1880" spans="1:4" x14ac:dyDescent="0.25">
      <c r="A1880" t="str">
        <f>"40109"</f>
        <v>40109</v>
      </c>
      <c r="B1880" t="s">
        <v>2111</v>
      </c>
      <c r="C1880" t="s">
        <v>72</v>
      </c>
      <c r="D1880" t="s">
        <v>73</v>
      </c>
    </row>
    <row r="1881" spans="1:4" x14ac:dyDescent="0.25">
      <c r="A1881" t="str">
        <f>"40110"</f>
        <v>40110</v>
      </c>
      <c r="B1881" t="s">
        <v>2112</v>
      </c>
      <c r="C1881" t="s">
        <v>561</v>
      </c>
      <c r="D1881" t="s">
        <v>73</v>
      </c>
    </row>
    <row r="1882" spans="1:4" x14ac:dyDescent="0.25">
      <c r="A1882" t="str">
        <f>"40111"</f>
        <v>40111</v>
      </c>
      <c r="B1882" t="s">
        <v>2113</v>
      </c>
      <c r="C1882" t="s">
        <v>561</v>
      </c>
      <c r="D1882" t="s">
        <v>287</v>
      </c>
    </row>
    <row r="1883" spans="1:4" x14ac:dyDescent="0.25">
      <c r="A1883" t="str">
        <f>"40112"</f>
        <v>40112</v>
      </c>
      <c r="B1883" t="s">
        <v>2114</v>
      </c>
      <c r="C1883" t="s">
        <v>64</v>
      </c>
      <c r="D1883" t="s">
        <v>17</v>
      </c>
    </row>
    <row r="1884" spans="1:4" x14ac:dyDescent="0.25">
      <c r="A1884" t="str">
        <f>"40113"</f>
        <v>40113</v>
      </c>
      <c r="B1884" t="s">
        <v>2115</v>
      </c>
      <c r="C1884" t="s">
        <v>1191</v>
      </c>
      <c r="D1884" t="s">
        <v>287</v>
      </c>
    </row>
    <row r="1885" spans="1:4" x14ac:dyDescent="0.25">
      <c r="A1885" t="str">
        <f>"40114"</f>
        <v>40114</v>
      </c>
      <c r="B1885" t="s">
        <v>2116</v>
      </c>
      <c r="C1885" t="s">
        <v>64</v>
      </c>
      <c r="D1885" t="s">
        <v>149</v>
      </c>
    </row>
    <row r="1886" spans="1:4" x14ac:dyDescent="0.25">
      <c r="A1886" t="str">
        <f>"40115"</f>
        <v>40115</v>
      </c>
      <c r="B1886" t="s">
        <v>2117</v>
      </c>
      <c r="C1886" t="s">
        <v>72</v>
      </c>
      <c r="D1886" t="s">
        <v>73</v>
      </c>
    </row>
    <row r="1887" spans="1:4" x14ac:dyDescent="0.25">
      <c r="A1887" t="str">
        <f>"40116"</f>
        <v>40116</v>
      </c>
      <c r="B1887" t="s">
        <v>2118</v>
      </c>
      <c r="C1887" t="s">
        <v>72</v>
      </c>
      <c r="D1887" t="s">
        <v>73</v>
      </c>
    </row>
    <row r="1888" spans="1:4" x14ac:dyDescent="0.25">
      <c r="A1888" t="str">
        <f>"40117"</f>
        <v>40117</v>
      </c>
      <c r="B1888" t="s">
        <v>2119</v>
      </c>
      <c r="C1888" t="s">
        <v>72</v>
      </c>
      <c r="D1888" t="s">
        <v>40</v>
      </c>
    </row>
    <row r="1889" spans="1:4" x14ac:dyDescent="0.25">
      <c r="A1889" t="str">
        <f>"40118"</f>
        <v>40118</v>
      </c>
      <c r="B1889" t="s">
        <v>2120</v>
      </c>
      <c r="C1889" t="s">
        <v>22</v>
      </c>
      <c r="D1889" t="s">
        <v>17</v>
      </c>
    </row>
    <row r="1890" spans="1:4" x14ac:dyDescent="0.25">
      <c r="A1890" t="str">
        <f>"40119"</f>
        <v>40119</v>
      </c>
      <c r="B1890" t="s">
        <v>2121</v>
      </c>
      <c r="C1890" t="s">
        <v>807</v>
      </c>
      <c r="D1890" t="s">
        <v>17</v>
      </c>
    </row>
    <row r="1891" spans="1:4" x14ac:dyDescent="0.25">
      <c r="A1891" t="str">
        <f>"40121"</f>
        <v>40121</v>
      </c>
      <c r="B1891" t="s">
        <v>2122</v>
      </c>
      <c r="C1891" t="s">
        <v>481</v>
      </c>
      <c r="D1891" t="s">
        <v>17</v>
      </c>
    </row>
    <row r="1892" spans="1:4" x14ac:dyDescent="0.25">
      <c r="A1892" t="str">
        <f>"40123"</f>
        <v>40123</v>
      </c>
      <c r="B1892" t="s">
        <v>2123</v>
      </c>
      <c r="C1892" t="s">
        <v>22</v>
      </c>
      <c r="D1892" t="s">
        <v>58</v>
      </c>
    </row>
    <row r="1893" spans="1:4" x14ac:dyDescent="0.25">
      <c r="A1893" t="str">
        <f>"40124"</f>
        <v>40124</v>
      </c>
      <c r="B1893" t="s">
        <v>2124</v>
      </c>
      <c r="C1893" t="s">
        <v>807</v>
      </c>
      <c r="D1893" t="s">
        <v>17</v>
      </c>
    </row>
    <row r="1894" spans="1:4" x14ac:dyDescent="0.25">
      <c r="A1894" t="str">
        <f>"40125"</f>
        <v>40125</v>
      </c>
      <c r="B1894" t="s">
        <v>2125</v>
      </c>
      <c r="C1894" t="s">
        <v>175</v>
      </c>
      <c r="D1894" t="s">
        <v>149</v>
      </c>
    </row>
    <row r="1895" spans="1:4" x14ac:dyDescent="0.25">
      <c r="A1895" t="str">
        <f>"40126"</f>
        <v>40126</v>
      </c>
      <c r="B1895" t="s">
        <v>2126</v>
      </c>
      <c r="C1895" t="s">
        <v>695</v>
      </c>
      <c r="D1895" t="s">
        <v>102</v>
      </c>
    </row>
    <row r="1896" spans="1:4" x14ac:dyDescent="0.25">
      <c r="A1896" t="str">
        <f>"40127"</f>
        <v>40127</v>
      </c>
      <c r="B1896" t="s">
        <v>2127</v>
      </c>
      <c r="C1896" t="s">
        <v>666</v>
      </c>
      <c r="D1896" t="s">
        <v>17</v>
      </c>
    </row>
    <row r="1897" spans="1:4" x14ac:dyDescent="0.25">
      <c r="A1897" t="str">
        <f>"40128"</f>
        <v>40128</v>
      </c>
      <c r="B1897" t="s">
        <v>2128</v>
      </c>
      <c r="C1897" t="s">
        <v>72</v>
      </c>
      <c r="D1897" t="s">
        <v>99</v>
      </c>
    </row>
    <row r="1898" spans="1:4" x14ac:dyDescent="0.25">
      <c r="A1898" t="str">
        <f>"40129"</f>
        <v>40129</v>
      </c>
      <c r="B1898" t="s">
        <v>2129</v>
      </c>
      <c r="C1898" t="s">
        <v>72</v>
      </c>
      <c r="D1898" t="s">
        <v>149</v>
      </c>
    </row>
    <row r="1899" spans="1:4" x14ac:dyDescent="0.25">
      <c r="A1899" t="str">
        <f>"40130 "</f>
        <v xml:space="preserve">40130 </v>
      </c>
      <c r="B1899" t="s">
        <v>2130</v>
      </c>
      <c r="C1899" t="s">
        <v>72</v>
      </c>
      <c r="D1899" t="s">
        <v>73</v>
      </c>
    </row>
    <row r="1900" spans="1:4" x14ac:dyDescent="0.25">
      <c r="A1900" t="str">
        <f>"40131"</f>
        <v>40131</v>
      </c>
      <c r="B1900" t="s">
        <v>2131</v>
      </c>
      <c r="C1900" t="s">
        <v>72</v>
      </c>
      <c r="D1900" t="s">
        <v>149</v>
      </c>
    </row>
    <row r="1901" spans="1:4" x14ac:dyDescent="0.25">
      <c r="A1901" t="str">
        <f>"40132"</f>
        <v>40132</v>
      </c>
      <c r="B1901" t="s">
        <v>2132</v>
      </c>
      <c r="C1901" t="s">
        <v>72</v>
      </c>
      <c r="D1901" t="s">
        <v>73</v>
      </c>
    </row>
    <row r="1902" spans="1:4" x14ac:dyDescent="0.25">
      <c r="A1902" t="str">
        <f>"40133"</f>
        <v>40133</v>
      </c>
      <c r="B1902" t="s">
        <v>2133</v>
      </c>
      <c r="C1902" t="s">
        <v>22</v>
      </c>
      <c r="D1902" t="s">
        <v>40</v>
      </c>
    </row>
    <row r="1903" spans="1:4" x14ac:dyDescent="0.25">
      <c r="A1903" t="str">
        <f>"40134"</f>
        <v>40134</v>
      </c>
      <c r="B1903" t="s">
        <v>2134</v>
      </c>
      <c r="C1903" t="s">
        <v>193</v>
      </c>
      <c r="D1903" t="s">
        <v>122</v>
      </c>
    </row>
    <row r="1904" spans="1:4" x14ac:dyDescent="0.25">
      <c r="A1904" t="str">
        <f>"40136"</f>
        <v>40136</v>
      </c>
      <c r="B1904" t="s">
        <v>2135</v>
      </c>
      <c r="C1904" t="s">
        <v>72</v>
      </c>
      <c r="D1904" t="s">
        <v>149</v>
      </c>
    </row>
    <row r="1905" spans="1:4" x14ac:dyDescent="0.25">
      <c r="A1905" t="str">
        <f>"40137"</f>
        <v>40137</v>
      </c>
      <c r="B1905" t="s">
        <v>2136</v>
      </c>
      <c r="C1905" t="s">
        <v>561</v>
      </c>
      <c r="D1905" t="s">
        <v>99</v>
      </c>
    </row>
    <row r="1906" spans="1:4" x14ac:dyDescent="0.25">
      <c r="A1906" t="str">
        <f>"40138"</f>
        <v>40138</v>
      </c>
      <c r="B1906" t="s">
        <v>2137</v>
      </c>
      <c r="C1906" t="s">
        <v>72</v>
      </c>
      <c r="D1906" t="s">
        <v>73</v>
      </c>
    </row>
    <row r="1907" spans="1:4" x14ac:dyDescent="0.25">
      <c r="A1907" t="str">
        <f>"40139"</f>
        <v>40139</v>
      </c>
      <c r="B1907" t="s">
        <v>1359</v>
      </c>
      <c r="C1907" t="s">
        <v>1040</v>
      </c>
      <c r="D1907" t="s">
        <v>122</v>
      </c>
    </row>
    <row r="1908" spans="1:4" x14ac:dyDescent="0.25">
      <c r="A1908" t="str">
        <f>"40140"</f>
        <v>40140</v>
      </c>
      <c r="B1908" t="s">
        <v>2138</v>
      </c>
      <c r="C1908" t="s">
        <v>72</v>
      </c>
      <c r="D1908" t="s">
        <v>149</v>
      </c>
    </row>
    <row r="1909" spans="1:4" x14ac:dyDescent="0.25">
      <c r="A1909" t="str">
        <f>"40141"</f>
        <v>40141</v>
      </c>
      <c r="B1909" t="s">
        <v>2139</v>
      </c>
      <c r="C1909" t="s">
        <v>1204</v>
      </c>
      <c r="D1909" t="s">
        <v>80</v>
      </c>
    </row>
    <row r="1910" spans="1:4" x14ac:dyDescent="0.25">
      <c r="A1910" t="str">
        <f>"40142"</f>
        <v>40142</v>
      </c>
      <c r="B1910" t="s">
        <v>2140</v>
      </c>
      <c r="C1910" t="s">
        <v>72</v>
      </c>
      <c r="D1910" t="s">
        <v>149</v>
      </c>
    </row>
    <row r="1911" spans="1:4" x14ac:dyDescent="0.25">
      <c r="A1911" t="str">
        <f>"40143"</f>
        <v>40143</v>
      </c>
      <c r="B1911" t="s">
        <v>2141</v>
      </c>
      <c r="C1911" t="s">
        <v>72</v>
      </c>
      <c r="D1911" t="s">
        <v>149</v>
      </c>
    </row>
    <row r="1912" spans="1:4" x14ac:dyDescent="0.25">
      <c r="A1912" t="str">
        <f>"40144"</f>
        <v>40144</v>
      </c>
      <c r="B1912" t="s">
        <v>2142</v>
      </c>
      <c r="C1912" t="s">
        <v>72</v>
      </c>
      <c r="D1912" t="s">
        <v>149</v>
      </c>
    </row>
    <row r="1913" spans="1:4" x14ac:dyDescent="0.25">
      <c r="A1913" t="str">
        <f>"40145"</f>
        <v>40145</v>
      </c>
      <c r="B1913" t="s">
        <v>2143</v>
      </c>
      <c r="C1913" t="s">
        <v>22</v>
      </c>
      <c r="D1913" t="s">
        <v>17</v>
      </c>
    </row>
    <row r="1914" spans="1:4" x14ac:dyDescent="0.25">
      <c r="A1914" t="str">
        <f>"40146"</f>
        <v>40146</v>
      </c>
      <c r="B1914" t="s">
        <v>2144</v>
      </c>
      <c r="C1914" t="s">
        <v>22</v>
      </c>
      <c r="D1914" t="s">
        <v>17</v>
      </c>
    </row>
    <row r="1915" spans="1:4" x14ac:dyDescent="0.25">
      <c r="A1915" t="str">
        <f>"40147"</f>
        <v>40147</v>
      </c>
      <c r="B1915" t="s">
        <v>2145</v>
      </c>
      <c r="C1915" t="s">
        <v>1191</v>
      </c>
      <c r="D1915" t="s">
        <v>73</v>
      </c>
    </row>
    <row r="1916" spans="1:4" x14ac:dyDescent="0.25">
      <c r="A1916" t="str">
        <f>"40148"</f>
        <v>40148</v>
      </c>
      <c r="B1916" t="s">
        <v>2146</v>
      </c>
      <c r="C1916" t="s">
        <v>72</v>
      </c>
      <c r="D1916" t="s">
        <v>73</v>
      </c>
    </row>
    <row r="1917" spans="1:4" x14ac:dyDescent="0.25">
      <c r="A1917" t="str">
        <f>"40149"</f>
        <v>40149</v>
      </c>
      <c r="B1917" t="s">
        <v>2147</v>
      </c>
      <c r="C1917" t="s">
        <v>52</v>
      </c>
      <c r="D1917" t="s">
        <v>40</v>
      </c>
    </row>
    <row r="1918" spans="1:4" x14ac:dyDescent="0.25">
      <c r="A1918" t="str">
        <f>"40150"</f>
        <v>40150</v>
      </c>
      <c r="B1918" t="s">
        <v>2148</v>
      </c>
      <c r="C1918" t="s">
        <v>22</v>
      </c>
      <c r="D1918" t="s">
        <v>17</v>
      </c>
    </row>
    <row r="1919" spans="1:4" x14ac:dyDescent="0.25">
      <c r="A1919" t="str">
        <f>"40151"</f>
        <v>40151</v>
      </c>
      <c r="B1919" t="s">
        <v>2149</v>
      </c>
      <c r="C1919" t="s">
        <v>378</v>
      </c>
      <c r="D1919" t="s">
        <v>149</v>
      </c>
    </row>
    <row r="1920" spans="1:4" x14ac:dyDescent="0.25">
      <c r="A1920" t="str">
        <f>"406"</f>
        <v>406</v>
      </c>
      <c r="B1920" t="s">
        <v>2150</v>
      </c>
      <c r="C1920" t="s">
        <v>84</v>
      </c>
      <c r="D1920" t="s">
        <v>19</v>
      </c>
    </row>
    <row r="1921" spans="1:4" x14ac:dyDescent="0.25">
      <c r="A1921" t="str">
        <f>"41"</f>
        <v>41</v>
      </c>
      <c r="B1921" t="s">
        <v>2151</v>
      </c>
      <c r="C1921" t="s">
        <v>22</v>
      </c>
      <c r="D1921" t="s">
        <v>80</v>
      </c>
    </row>
    <row r="1922" spans="1:4" x14ac:dyDescent="0.25">
      <c r="A1922" t="str">
        <f>"414"</f>
        <v>414</v>
      </c>
      <c r="B1922" t="s">
        <v>2152</v>
      </c>
      <c r="C1922" t="s">
        <v>44</v>
      </c>
      <c r="D1922" t="s">
        <v>122</v>
      </c>
    </row>
    <row r="1923" spans="1:4" x14ac:dyDescent="0.25">
      <c r="A1923" t="str">
        <f>"416"</f>
        <v>416</v>
      </c>
      <c r="B1923" t="s">
        <v>2153</v>
      </c>
      <c r="C1923" t="s">
        <v>11</v>
      </c>
      <c r="D1923" t="s">
        <v>122</v>
      </c>
    </row>
    <row r="1924" spans="1:4" x14ac:dyDescent="0.25">
      <c r="A1924" t="str">
        <f>"443"</f>
        <v>443</v>
      </c>
      <c r="B1924" t="s">
        <v>2154</v>
      </c>
      <c r="C1924" t="s">
        <v>96</v>
      </c>
      <c r="D1924" t="s">
        <v>40</v>
      </c>
    </row>
    <row r="1925" spans="1:4" x14ac:dyDescent="0.25">
      <c r="A1925" t="str">
        <f>"457"</f>
        <v>457</v>
      </c>
      <c r="B1925" t="s">
        <v>2155</v>
      </c>
      <c r="C1925" t="s">
        <v>11</v>
      </c>
      <c r="D1925" t="s">
        <v>65</v>
      </c>
    </row>
    <row r="1926" spans="1:4" x14ac:dyDescent="0.25">
      <c r="A1926" t="str">
        <f>"494"</f>
        <v>494</v>
      </c>
      <c r="B1926" t="s">
        <v>2156</v>
      </c>
      <c r="C1926" t="s">
        <v>96</v>
      </c>
      <c r="D1926" t="s">
        <v>582</v>
      </c>
    </row>
    <row r="1927" spans="1:4" x14ac:dyDescent="0.25">
      <c r="A1927" t="str">
        <f>"495"</f>
        <v>495</v>
      </c>
      <c r="B1927" t="s">
        <v>2157</v>
      </c>
      <c r="C1927" t="s">
        <v>96</v>
      </c>
      <c r="D1927" t="s">
        <v>40</v>
      </c>
    </row>
    <row r="1928" spans="1:4" x14ac:dyDescent="0.25">
      <c r="A1928" t="str">
        <f>"514"</f>
        <v>514</v>
      </c>
      <c r="B1928" t="s">
        <v>2158</v>
      </c>
      <c r="C1928" t="s">
        <v>44</v>
      </c>
      <c r="D1928" t="s">
        <v>122</v>
      </c>
    </row>
    <row r="1929" spans="1:4" x14ac:dyDescent="0.25">
      <c r="A1929" t="str">
        <f>"518"</f>
        <v>518</v>
      </c>
      <c r="B1929" t="s">
        <v>2159</v>
      </c>
      <c r="C1929" t="s">
        <v>14</v>
      </c>
      <c r="D1929" t="s">
        <v>75</v>
      </c>
    </row>
    <row r="1930" spans="1:4" x14ac:dyDescent="0.25">
      <c r="A1930" t="str">
        <f>"523"</f>
        <v>523</v>
      </c>
      <c r="B1930" t="s">
        <v>2160</v>
      </c>
      <c r="C1930" t="s">
        <v>44</v>
      </c>
      <c r="D1930" t="s">
        <v>149</v>
      </c>
    </row>
    <row r="1931" spans="1:4" x14ac:dyDescent="0.25">
      <c r="A1931" t="str">
        <f>"540"</f>
        <v>540</v>
      </c>
      <c r="B1931" t="s">
        <v>2161</v>
      </c>
      <c r="C1931" t="s">
        <v>272</v>
      </c>
      <c r="D1931" t="s">
        <v>149</v>
      </c>
    </row>
    <row r="1932" spans="1:4" x14ac:dyDescent="0.25">
      <c r="A1932" t="str">
        <f>"563"</f>
        <v>563</v>
      </c>
      <c r="B1932" t="s">
        <v>2162</v>
      </c>
      <c r="C1932" t="s">
        <v>44</v>
      </c>
      <c r="D1932" t="s">
        <v>19</v>
      </c>
    </row>
    <row r="1933" spans="1:4" x14ac:dyDescent="0.25">
      <c r="A1933" t="str">
        <f>"585"</f>
        <v>585</v>
      </c>
      <c r="B1933" t="s">
        <v>2163</v>
      </c>
      <c r="C1933" t="s">
        <v>96</v>
      </c>
      <c r="D1933" t="s">
        <v>19</v>
      </c>
    </row>
    <row r="1934" spans="1:4" x14ac:dyDescent="0.25">
      <c r="A1934" t="str">
        <f>"589"</f>
        <v>589</v>
      </c>
      <c r="B1934" t="s">
        <v>2164</v>
      </c>
      <c r="C1934" t="s">
        <v>96</v>
      </c>
      <c r="D1934" t="s">
        <v>19</v>
      </c>
    </row>
    <row r="1935" spans="1:4" x14ac:dyDescent="0.25">
      <c r="A1935" t="str">
        <f>"594"</f>
        <v>594</v>
      </c>
      <c r="B1935" t="s">
        <v>2165</v>
      </c>
      <c r="C1935" t="s">
        <v>96</v>
      </c>
      <c r="D1935" t="s">
        <v>19</v>
      </c>
    </row>
    <row r="1936" spans="1:4" x14ac:dyDescent="0.25">
      <c r="A1936" t="str">
        <f>"613"</f>
        <v>613</v>
      </c>
      <c r="B1936" t="s">
        <v>2166</v>
      </c>
      <c r="C1936" t="s">
        <v>96</v>
      </c>
      <c r="D1936" t="s">
        <v>73</v>
      </c>
    </row>
    <row r="1937" spans="1:4" x14ac:dyDescent="0.25">
      <c r="A1937" t="str">
        <f>"621"</f>
        <v>621</v>
      </c>
      <c r="B1937" t="s">
        <v>2167</v>
      </c>
      <c r="C1937" t="s">
        <v>111</v>
      </c>
      <c r="D1937" t="s">
        <v>122</v>
      </c>
    </row>
    <row r="1938" spans="1:4" x14ac:dyDescent="0.25">
      <c r="A1938" t="str">
        <f>"629"</f>
        <v>629</v>
      </c>
      <c r="B1938" t="s">
        <v>2168</v>
      </c>
      <c r="C1938" t="s">
        <v>64</v>
      </c>
      <c r="D1938" t="s">
        <v>149</v>
      </c>
    </row>
    <row r="1939" spans="1:4" x14ac:dyDescent="0.25">
      <c r="A1939" t="str">
        <f>"646"</f>
        <v>646</v>
      </c>
      <c r="B1939" t="s">
        <v>2169</v>
      </c>
      <c r="C1939" t="s">
        <v>96</v>
      </c>
      <c r="D1939" t="s">
        <v>73</v>
      </c>
    </row>
    <row r="1940" spans="1:4" x14ac:dyDescent="0.25">
      <c r="A1940" t="str">
        <f>"651"</f>
        <v>651</v>
      </c>
      <c r="B1940" t="s">
        <v>2170</v>
      </c>
      <c r="C1940" t="s">
        <v>39</v>
      </c>
      <c r="D1940" t="s">
        <v>122</v>
      </c>
    </row>
    <row r="1941" spans="1:4" x14ac:dyDescent="0.25">
      <c r="A1941" t="str">
        <f>"672"</f>
        <v>672</v>
      </c>
      <c r="B1941" t="s">
        <v>2171</v>
      </c>
      <c r="C1941" t="s">
        <v>96</v>
      </c>
      <c r="D1941" t="s">
        <v>19</v>
      </c>
    </row>
    <row r="1942" spans="1:4" x14ac:dyDescent="0.25">
      <c r="A1942" t="str">
        <f>"675"</f>
        <v>675</v>
      </c>
      <c r="B1942" t="s">
        <v>2172</v>
      </c>
      <c r="C1942" t="s">
        <v>111</v>
      </c>
      <c r="D1942" t="s">
        <v>73</v>
      </c>
    </row>
    <row r="1943" spans="1:4" x14ac:dyDescent="0.25">
      <c r="A1943" t="str">
        <f>"689"</f>
        <v>689</v>
      </c>
      <c r="B1943" t="s">
        <v>2173</v>
      </c>
      <c r="C1943" t="s">
        <v>96</v>
      </c>
      <c r="D1943" t="s">
        <v>73</v>
      </c>
    </row>
    <row r="1944" spans="1:4" x14ac:dyDescent="0.25">
      <c r="A1944" t="str">
        <f>"691"</f>
        <v>691</v>
      </c>
      <c r="B1944" t="s">
        <v>2174</v>
      </c>
      <c r="C1944" t="s">
        <v>44</v>
      </c>
      <c r="D1944" t="s">
        <v>122</v>
      </c>
    </row>
    <row r="1945" spans="1:4" x14ac:dyDescent="0.25">
      <c r="A1945" t="str">
        <f>"700"</f>
        <v>700</v>
      </c>
      <c r="B1945" t="s">
        <v>2175</v>
      </c>
      <c r="C1945" t="s">
        <v>96</v>
      </c>
      <c r="D1945" t="s">
        <v>40</v>
      </c>
    </row>
    <row r="1946" spans="1:4" x14ac:dyDescent="0.25">
      <c r="A1946" t="str">
        <f>"714"</f>
        <v>714</v>
      </c>
      <c r="B1946" t="s">
        <v>2176</v>
      </c>
      <c r="C1946" t="s">
        <v>272</v>
      </c>
      <c r="D1946" t="s">
        <v>73</v>
      </c>
    </row>
    <row r="1947" spans="1:4" x14ac:dyDescent="0.25">
      <c r="A1947" t="str">
        <f>"723"</f>
        <v>723</v>
      </c>
      <c r="B1947" t="s">
        <v>2177</v>
      </c>
      <c r="C1947" t="s">
        <v>96</v>
      </c>
      <c r="D1947" t="s">
        <v>40</v>
      </c>
    </row>
    <row r="1948" spans="1:4" x14ac:dyDescent="0.25">
      <c r="A1948" t="str">
        <f>"776"</f>
        <v>776</v>
      </c>
      <c r="B1948" t="s">
        <v>2178</v>
      </c>
      <c r="C1948" t="s">
        <v>96</v>
      </c>
      <c r="D1948" t="s">
        <v>40</v>
      </c>
    </row>
    <row r="1949" spans="1:4" x14ac:dyDescent="0.25">
      <c r="A1949" t="str">
        <f>"816"</f>
        <v>816</v>
      </c>
      <c r="B1949" t="s">
        <v>2179</v>
      </c>
      <c r="C1949" t="s">
        <v>44</v>
      </c>
      <c r="D1949" t="s">
        <v>75</v>
      </c>
    </row>
    <row r="1950" spans="1:4" x14ac:dyDescent="0.25">
      <c r="A1950" t="str">
        <f>"834"</f>
        <v>834</v>
      </c>
      <c r="B1950" t="s">
        <v>2180</v>
      </c>
      <c r="C1950" t="s">
        <v>96</v>
      </c>
      <c r="D1950" t="s">
        <v>426</v>
      </c>
    </row>
    <row r="1951" spans="1:4" x14ac:dyDescent="0.25">
      <c r="A1951" t="str">
        <f>"902"</f>
        <v>902</v>
      </c>
      <c r="B1951" t="s">
        <v>2181</v>
      </c>
      <c r="C1951" t="s">
        <v>44</v>
      </c>
      <c r="D1951" t="s">
        <v>75</v>
      </c>
    </row>
    <row r="1952" spans="1:4" x14ac:dyDescent="0.25">
      <c r="A1952" t="str">
        <f>"918"</f>
        <v>918</v>
      </c>
      <c r="B1952" t="s">
        <v>2182</v>
      </c>
      <c r="C1952" t="s">
        <v>44</v>
      </c>
      <c r="D1952" t="s">
        <v>75</v>
      </c>
    </row>
    <row r="1953" spans="1:4" x14ac:dyDescent="0.25">
      <c r="A1953" t="str">
        <f>"941"</f>
        <v>941</v>
      </c>
      <c r="B1953" t="s">
        <v>2183</v>
      </c>
      <c r="C1953" t="s">
        <v>22</v>
      </c>
      <c r="D1953" t="s">
        <v>105</v>
      </c>
    </row>
    <row r="1954" spans="1:4" x14ac:dyDescent="0.25">
      <c r="A1954" t="str">
        <f>"943"</f>
        <v>943</v>
      </c>
      <c r="B1954" t="s">
        <v>2184</v>
      </c>
      <c r="C1954" t="s">
        <v>258</v>
      </c>
      <c r="D1954" t="s">
        <v>75</v>
      </c>
    </row>
    <row r="1955" spans="1:4" x14ac:dyDescent="0.25">
      <c r="A1955" t="str">
        <f>"950"</f>
        <v>950</v>
      </c>
      <c r="B1955" t="s">
        <v>2185</v>
      </c>
      <c r="C1955" t="s">
        <v>202</v>
      </c>
      <c r="D1955" t="s">
        <v>19</v>
      </c>
    </row>
    <row r="1956" spans="1:4" x14ac:dyDescent="0.25">
      <c r="A1956" t="str">
        <f>"954"</f>
        <v>954</v>
      </c>
      <c r="B1956" t="s">
        <v>2186</v>
      </c>
      <c r="C1956" t="s">
        <v>57</v>
      </c>
      <c r="D1956" t="s">
        <v>58</v>
      </c>
    </row>
    <row r="1957" spans="1:4" x14ac:dyDescent="0.25">
      <c r="A1957" t="str">
        <f>"956"</f>
        <v>956</v>
      </c>
      <c r="B1957" t="s">
        <v>2187</v>
      </c>
      <c r="C1957" t="s">
        <v>111</v>
      </c>
      <c r="D1957" t="s">
        <v>426</v>
      </c>
    </row>
    <row r="1958" spans="1:4" x14ac:dyDescent="0.25">
      <c r="A1958" t="str">
        <f>"961"</f>
        <v>961</v>
      </c>
      <c r="B1958" t="s">
        <v>2188</v>
      </c>
      <c r="C1958" t="s">
        <v>22</v>
      </c>
      <c r="D1958" t="s">
        <v>75</v>
      </c>
    </row>
    <row r="1959" spans="1:4" x14ac:dyDescent="0.25">
      <c r="A1959" t="str">
        <f>"97"</f>
        <v>97</v>
      </c>
      <c r="B1959" t="s">
        <v>2189</v>
      </c>
      <c r="C1959" t="s">
        <v>11</v>
      </c>
      <c r="D1959" t="s">
        <v>40</v>
      </c>
    </row>
    <row r="1960" spans="1:4" x14ac:dyDescent="0.25">
      <c r="A1960" t="str">
        <f>"971"</f>
        <v>971</v>
      </c>
      <c r="B1960" t="s">
        <v>2190</v>
      </c>
      <c r="C1960" t="s">
        <v>33</v>
      </c>
      <c r="D1960" t="s">
        <v>31</v>
      </c>
    </row>
    <row r="1961" spans="1:4" x14ac:dyDescent="0.25">
      <c r="A1961" t="str">
        <f>"983"</f>
        <v>983</v>
      </c>
      <c r="B1961" t="s">
        <v>2191</v>
      </c>
      <c r="C1961" t="s">
        <v>84</v>
      </c>
      <c r="D196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Arkansas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2026-08-22T15:06:09Z</dcterms:created>
  <dcterms:modified xsi:type="dcterms:W3CDTF">2026-08-22T15:06:58Z</dcterms:modified>
</cp:coreProperties>
</file>